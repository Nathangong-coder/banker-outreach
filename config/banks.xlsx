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agon\Downloads\"/>
    </mc:Choice>
  </mc:AlternateContent>
  <xr:revisionPtr revIDLastSave="0" documentId="13_ncr:1_{657544A4-2912-4E9A-9305-5EF1A8FD5CCA}" xr6:coauthVersionLast="47" xr6:coauthVersionMax="47" xr10:uidLastSave="{00000000-0000-0000-0000-000000000000}"/>
  <bookViews>
    <workbookView xWindow="-110" yWindow="-110" windowWidth="25820" windowHeight="15500" activeTab="5" xr2:uid="{00000000-000D-0000-FFFF-FFFF00000000}"/>
  </bookViews>
  <sheets>
    <sheet name="OVERVIEW" sheetId="1" r:id="rId1"/>
    <sheet name="APPLICATIONS" sheetId="2" r:id="rId2"/>
    <sheet name="ACTIVE BAY" sheetId="3" state="hidden" r:id="rId3"/>
    <sheet name="WALL STREET" sheetId="4" r:id="rId4"/>
    <sheet name="MS" sheetId="6" r:id="rId5"/>
    <sheet name="MS (NY)" sheetId="7" r:id="rId6"/>
    <sheet name="GS" sheetId="5" r:id="rId7"/>
    <sheet name="JPM" sheetId="8" r:id="rId8"/>
    <sheet name="BAC" sheetId="17" r:id="rId9"/>
    <sheet name="C" sheetId="18" r:id="rId10"/>
    <sheet name="Qatalyst" sheetId="14" r:id="rId11"/>
    <sheet name="Evercore" sheetId="9" r:id="rId12"/>
    <sheet name="Evercore (NY)" sheetId="10" r:id="rId13"/>
    <sheet name="Lazard" sheetId="13" r:id="rId14"/>
    <sheet name="JEF" sheetId="11" r:id="rId15"/>
    <sheet name="ROTH" sheetId="16" r:id="rId16"/>
    <sheet name="Sheet4" sheetId="15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8" roundtripDataChecksum="Y9ms2/Fsmor31ir4URpHZg8pJldeN13mZg3gvNiCvqQ="/>
    </ext>
  </extLst>
</workbook>
</file>

<file path=xl/calcChain.xml><?xml version="1.0" encoding="utf-8"?>
<calcChain xmlns="http://schemas.openxmlformats.org/spreadsheetml/2006/main">
  <c r="B15" i="1" l="1"/>
  <c r="C74" i="3"/>
  <c r="C67" i="1"/>
  <c r="E67" i="1" s="1"/>
  <c r="B73" i="1" s="1"/>
  <c r="H66" i="1"/>
  <c r="G66" i="1"/>
  <c r="E66" i="1"/>
  <c r="B72" i="1" s="1"/>
  <c r="E63" i="1"/>
  <c r="B69" i="1" s="1"/>
  <c r="C59" i="1"/>
  <c r="E59" i="1" s="1"/>
  <c r="C73" i="1" s="1"/>
  <c r="E58" i="1" l="1"/>
  <c r="C72" i="1" s="1"/>
  <c r="H56" i="1"/>
  <c r="H58" i="1" s="1"/>
  <c r="G56" i="1"/>
  <c r="G58" i="1" s="1"/>
  <c r="E57" i="1"/>
  <c r="C71" i="1" s="1"/>
  <c r="E64" i="1"/>
  <c r="B70" i="1" s="1"/>
  <c r="E55" i="1"/>
  <c r="C69" i="1" s="1"/>
  <c r="E56" i="1"/>
  <c r="C70" i="1" s="1"/>
  <c r="E65" i="1"/>
  <c r="B71" i="1" s="1"/>
  <c r="B74" i="3"/>
  <c r="E74" i="3" s="1"/>
  <c r="H60" i="1"/>
  <c r="G60" i="1"/>
  <c r="H55" i="1"/>
  <c r="H57" i="1" s="1"/>
  <c r="H59" i="1" s="1"/>
  <c r="G55" i="1"/>
  <c r="G57" i="1" s="1"/>
  <c r="G59" i="1" s="1"/>
  <c r="D74" i="3" l="1"/>
  <c r="G74" i="3" s="1"/>
</calcChain>
</file>

<file path=xl/sharedStrings.xml><?xml version="1.0" encoding="utf-8"?>
<sst xmlns="http://schemas.openxmlformats.org/spreadsheetml/2006/main" count="2908" uniqueCount="910">
  <si>
    <t>OVERVIEW</t>
  </si>
  <si>
    <t>APPLICATION</t>
  </si>
  <si>
    <t>THE SELL SIDE</t>
  </si>
  <si>
    <t>NETWORKING</t>
  </si>
  <si>
    <t>THE BUY SIDE</t>
  </si>
  <si>
    <t>EMAILS</t>
  </si>
  <si>
    <t>#</t>
  </si>
  <si>
    <t>Institution Name</t>
  </si>
  <si>
    <t>Investment Banks
(Bulge Bracket)</t>
  </si>
  <si>
    <t>Institution Type</t>
  </si>
  <si>
    <t>Investment Banks
(Elite Boutique)</t>
  </si>
  <si>
    <t>Application Link</t>
  </si>
  <si>
    <t>Investment Banks
(Middle Market)</t>
  </si>
  <si>
    <t>Application
Open Date</t>
  </si>
  <si>
    <t>Private Equity Firms</t>
  </si>
  <si>
    <t>Application
Submitted Date</t>
  </si>
  <si>
    <t>Venture Capital Funds</t>
  </si>
  <si>
    <t>Application 
Status</t>
  </si>
  <si>
    <t>Hedge Funds</t>
  </si>
  <si>
    <t>Target Location</t>
  </si>
  <si>
    <t>Asset Management Firms</t>
  </si>
  <si>
    <t>Application Open
Date (Historical)</t>
  </si>
  <si>
    <t>Trading Firms</t>
  </si>
  <si>
    <t>Application Open 
Date (Actual)</t>
  </si>
  <si>
    <t>Emails</t>
  </si>
  <si>
    <t>JP Morgan</t>
  </si>
  <si>
    <t>Goldman Sachs</t>
  </si>
  <si>
    <t>Investment Bank</t>
  </si>
  <si>
    <t>Conversations</t>
  </si>
  <si>
    <t>JP Morgan Career.ed YOU Sophomore Academy</t>
  </si>
  <si>
    <t>Referrals</t>
  </si>
  <si>
    <t>Evercore</t>
  </si>
  <si>
    <t>Jefferies</t>
  </si>
  <si>
    <t>Blackstone</t>
  </si>
  <si>
    <t>Sequoia Capital</t>
  </si>
  <si>
    <t>Bridgewater Associates</t>
  </si>
  <si>
    <t>BlackRock</t>
  </si>
  <si>
    <t>Jane Street Capital</t>
  </si>
  <si>
    <t># Contacts
Targeted</t>
  </si>
  <si>
    <t>Contacts
Gathered</t>
  </si>
  <si>
    <t>Emails
Drafted</t>
  </si>
  <si>
    <t>Sep 8th, 2023</t>
  </si>
  <si>
    <t>Morgan Stanley</t>
  </si>
  <si>
    <t>Scheduled
or Sent</t>
  </si>
  <si>
    <t>Centerview Partners</t>
  </si>
  <si>
    <t>Houlihan Lokey</t>
  </si>
  <si>
    <t>Emails
Recorded</t>
  </si>
  <si>
    <t>KKR &amp; Co.</t>
  </si>
  <si>
    <t>Andreessen Horowitz</t>
  </si>
  <si>
    <t>Bulge Bracket</t>
  </si>
  <si>
    <t>Followed
Up 2x</t>
  </si>
  <si>
    <t>Virtual</t>
  </si>
  <si>
    <t>Citadel Securities</t>
  </si>
  <si>
    <t>January 13th, 2023</t>
  </si>
  <si>
    <t>Vanguard Group</t>
  </si>
  <si>
    <t>January 15th, 2024</t>
  </si>
  <si>
    <t>‍Hudson River Trading</t>
  </si>
  <si>
    <t>Menlo Park, CA</t>
  </si>
  <si>
    <t>x</t>
  </si>
  <si>
    <t>McKinsey &amp; Company</t>
  </si>
  <si>
    <t>Consulting Firm</t>
  </si>
  <si>
    <t>Sophomore Summer Business Analyst</t>
  </si>
  <si>
    <t>March Week 9 Push (3/3/24 - 3/9/24)</t>
  </si>
  <si>
    <t>Unknown</t>
  </si>
  <si>
    <t>Jul 3rd, 2023</t>
  </si>
  <si>
    <t>March 15th, 2023</t>
  </si>
  <si>
    <t>March 1st, 2024</t>
  </si>
  <si>
    <t>New York, NY</t>
  </si>
  <si>
    <t>San Francisco, CA</t>
  </si>
  <si>
    <t>Lazard</t>
  </si>
  <si>
    <t>RBC Capital Markets</t>
  </si>
  <si>
    <t>Apollo Global Management</t>
  </si>
  <si>
    <t>Kleiner Perkins</t>
  </si>
  <si>
    <t>Kohlberg Kravis Roberts &amp; Co.</t>
  </si>
  <si>
    <t>Man Group</t>
  </si>
  <si>
    <t>Private Equity Firm</t>
  </si>
  <si>
    <t>Fidelity Investments</t>
  </si>
  <si>
    <t>2023 Undergraduate Diversity Insights Symposium</t>
  </si>
  <si>
    <t>IMC Trading</t>
  </si>
  <si>
    <t>Deutsche Bank</t>
  </si>
  <si>
    <t>Deutsche Bank Analyst Internship Program - Investment Bank: Corporate Finance - New York -2025</t>
  </si>
  <si>
    <t>Bank of America</t>
  </si>
  <si>
    <t>Moelis &amp; Company</t>
  </si>
  <si>
    <t>Aug 30th, 2023</t>
  </si>
  <si>
    <t>The Raine Group</t>
  </si>
  <si>
    <t>Sep 4th, 2023</t>
  </si>
  <si>
    <t>Ares Management</t>
  </si>
  <si>
    <t>Khosla Ventures</t>
  </si>
  <si>
    <t>Millennium Management</t>
  </si>
  <si>
    <t>Oaktree Capital</t>
  </si>
  <si>
    <t>Tower Research</t>
  </si>
  <si>
    <t>Recalc Academy</t>
  </si>
  <si>
    <t>Professional Organization</t>
  </si>
  <si>
    <t>Citigroup</t>
  </si>
  <si>
    <t>Recalc Academy Finance Accelerator</t>
  </si>
  <si>
    <t>PJT Partners</t>
  </si>
  <si>
    <t>Cowen</t>
  </si>
  <si>
    <t>Bain Capital</t>
  </si>
  <si>
    <t>Battery Ventures</t>
  </si>
  <si>
    <t>Renaissance Technologies</t>
  </si>
  <si>
    <t>PIMCO</t>
  </si>
  <si>
    <t>Chicago Trading Company</t>
  </si>
  <si>
    <t>10 contacts</t>
  </si>
  <si>
    <t>DONE</t>
  </si>
  <si>
    <t>January 3rd, 2023</t>
  </si>
  <si>
    <t>December 31st, 2023</t>
  </si>
  <si>
    <t>Sep 6th, 2023</t>
  </si>
  <si>
    <t>PENDING</t>
  </si>
  <si>
    <t>Credit Suisse</t>
  </si>
  <si>
    <t>PWP</t>
  </si>
  <si>
    <t>Baird</t>
  </si>
  <si>
    <t>TPG Capital</t>
  </si>
  <si>
    <t>New Enterprise Associates</t>
  </si>
  <si>
    <t>DE Shaw Group</t>
  </si>
  <si>
    <t>State Street</t>
  </si>
  <si>
    <t>Optiver</t>
  </si>
  <si>
    <t>JP Morgan Corporate and Investment Bank Sophomore Spotlight</t>
  </si>
  <si>
    <t>UBS</t>
  </si>
  <si>
    <t>2025 Summer Analyst - Restructuring &amp; Special Situations Group</t>
  </si>
  <si>
    <t>Sep 9th, 2023</t>
  </si>
  <si>
    <t>Bank of America (BAC)</t>
  </si>
  <si>
    <t>March 9th, 2023</t>
  </si>
  <si>
    <t>February 1st, 2024</t>
  </si>
  <si>
    <t>2023 Blackstone US Diverse Leaders Program</t>
  </si>
  <si>
    <t>Menlo/Palo</t>
  </si>
  <si>
    <t>2025 Capital Markets, Global Investment Banking Summer Analyst</t>
  </si>
  <si>
    <t>January 25th, 2023</t>
  </si>
  <si>
    <t>Sep 11th, 2023</t>
  </si>
  <si>
    <t>Qatalyst Partners</t>
  </si>
  <si>
    <t>Stifel</t>
  </si>
  <si>
    <t>Carlyle Group</t>
  </si>
  <si>
    <t>Founders Fund</t>
  </si>
  <si>
    <t>Wellington Management</t>
  </si>
  <si>
    <t>Charles Schwab</t>
  </si>
  <si>
    <t>Susquehanna Int'l</t>
  </si>
  <si>
    <t>Insight Partners</t>
  </si>
  <si>
    <t>2025 Summer Investment Analyst</t>
  </si>
  <si>
    <t>19 contacts</t>
  </si>
  <si>
    <t>March 10th, 2023</t>
  </si>
  <si>
    <t>Sep 10th, 2023</t>
  </si>
  <si>
    <t>Greenhill &amp; Co.</t>
  </si>
  <si>
    <t>Sep 12th, 2023</t>
  </si>
  <si>
    <t>January 1st, 2024</t>
  </si>
  <si>
    <t>Raymond James</t>
  </si>
  <si>
    <t>2024 Inclusion by Insight Virtual Summit</t>
  </si>
  <si>
    <t>2025 Investment Banking Summer Analyst</t>
  </si>
  <si>
    <t>Warburg Pincus</t>
  </si>
  <si>
    <t>First Round Capital</t>
  </si>
  <si>
    <t>Point72</t>
  </si>
  <si>
    <t>Invesco</t>
  </si>
  <si>
    <t>Hedge Fund</t>
  </si>
  <si>
    <t>2024 Point72 Future of Finance Accelerator</t>
  </si>
  <si>
    <t>Barclays</t>
  </si>
  <si>
    <t>Guggenheim Partners</t>
  </si>
  <si>
    <t>William Blair</t>
  </si>
  <si>
    <t>5 contacts</t>
  </si>
  <si>
    <t>Apax Partners</t>
  </si>
  <si>
    <t>Accel</t>
  </si>
  <si>
    <t>Two Sigma</t>
  </si>
  <si>
    <t>Prudential Financial</t>
  </si>
  <si>
    <t>Sep 16th, 2023</t>
  </si>
  <si>
    <t>Lincoln International</t>
  </si>
  <si>
    <t>Harris Williams</t>
  </si>
  <si>
    <t>Silver Lake</t>
  </si>
  <si>
    <t>Accel-KKR</t>
  </si>
  <si>
    <t>Farallon Capital</t>
  </si>
  <si>
    <t>AXA</t>
  </si>
  <si>
    <t>Susquehanna International Group</t>
  </si>
  <si>
    <t>Investment Banking 2025 Summer Analyst</t>
  </si>
  <si>
    <t>Sophomore Discovery Day – Growth Equity</t>
  </si>
  <si>
    <t>Rothschild &amp; Co.</t>
  </si>
  <si>
    <t>Wells Fargo</t>
  </si>
  <si>
    <t>Brookfield</t>
  </si>
  <si>
    <t>Greylock Partners</t>
  </si>
  <si>
    <t>Brevan Howard</t>
  </si>
  <si>
    <t>Manulife</t>
  </si>
  <si>
    <t>Sep 21st, 2023</t>
  </si>
  <si>
    <t>Philadelphia, PA</t>
  </si>
  <si>
    <t>Solomon Partners</t>
  </si>
  <si>
    <t>Brown Brothers Harriman</t>
  </si>
  <si>
    <t>Vista Equity Partners</t>
  </si>
  <si>
    <t>Tiger Global Management</t>
  </si>
  <si>
    <t>Elliott Management</t>
  </si>
  <si>
    <t>Sophomore Discovery Day – Capital Markets</t>
  </si>
  <si>
    <t>Allen &amp; Co.</t>
  </si>
  <si>
    <t>Piper Sandler</t>
  </si>
  <si>
    <t>Thoma Bravo</t>
  </si>
  <si>
    <t>Softbank Vision Fund</t>
  </si>
  <si>
    <t>2025 Blackstone Private Equity Strategies, Acquisitions Summer Analyst</t>
  </si>
  <si>
    <t>LionTree Advisors</t>
  </si>
  <si>
    <t>Oppenheimer &amp; Co.</t>
  </si>
  <si>
    <t>CVC Capital Partners</t>
  </si>
  <si>
    <t>Institutional Equities Sales &amp; Trading Internship</t>
  </si>
  <si>
    <t>Sep 23rd, 2023</t>
  </si>
  <si>
    <t>Ducera Partners</t>
  </si>
  <si>
    <t>BMO Capital Markets</t>
  </si>
  <si>
    <t>Advent International</t>
  </si>
  <si>
    <t>Goldman Sachs Possibilities Summit</t>
  </si>
  <si>
    <t>2025 Summer Analyst, Credit</t>
  </si>
  <si>
    <t>FinTech Partners</t>
  </si>
  <si>
    <t>Sep 27th, 2023</t>
  </si>
  <si>
    <t>Macquarie Group</t>
  </si>
  <si>
    <t>Sep 28th, 2023</t>
  </si>
  <si>
    <t>Develop with Deutsche Bank</t>
  </si>
  <si>
    <t>BNP Paribas</t>
  </si>
  <si>
    <t>Oct 1st, 2023</t>
  </si>
  <si>
    <t>Société Générale</t>
  </si>
  <si>
    <t>2024 Career Exploration Program</t>
  </si>
  <si>
    <t>HSBC</t>
  </si>
  <si>
    <t>Oct 3rd, 2023</t>
  </si>
  <si>
    <t>February 1st, 2023</t>
  </si>
  <si>
    <t>February 2nd, 2024</t>
  </si>
  <si>
    <t>PeakSpan Capital</t>
  </si>
  <si>
    <t>Growth Equity Firm</t>
  </si>
  <si>
    <t>2024 PeakSpan Growth Equity Immersion Program</t>
  </si>
  <si>
    <t>Oct 5th, 2023</t>
  </si>
  <si>
    <t>Oct 7th, 2023</t>
  </si>
  <si>
    <t>Deutsche Bank (DBK)</t>
  </si>
  <si>
    <t>December 5th, 2023</t>
  </si>
  <si>
    <t>University of California</t>
  </si>
  <si>
    <t>University</t>
  </si>
  <si>
    <t>UC Investments Academy Fall 2023 Program</t>
  </si>
  <si>
    <t>Oct 4th, 2023</t>
  </si>
  <si>
    <t>California</t>
  </si>
  <si>
    <t>Nomura</t>
  </si>
  <si>
    <t>2024 Explore Nomura Freshman &amp; Sophomore Program</t>
  </si>
  <si>
    <t>Mizuho Financial Group</t>
  </si>
  <si>
    <t>Qatalyst (Q)</t>
  </si>
  <si>
    <t>Elite Boutique</t>
  </si>
  <si>
    <t>Oct 11th, 2023</t>
  </si>
  <si>
    <t>2025 Corporate Finance Summer Financial Analyst - New York Generalist (Class of 2026)</t>
  </si>
  <si>
    <t>March 3rd, 2023</t>
  </si>
  <si>
    <t>Meet KKR in California</t>
  </si>
  <si>
    <t>Mitsubishi UFJ Financial</t>
  </si>
  <si>
    <t>Oct 18th, 2023</t>
  </si>
  <si>
    <t>Oct 19th, 2023</t>
  </si>
  <si>
    <t>Scotiabank</t>
  </si>
  <si>
    <t>Lazard (LAZ)</t>
  </si>
  <si>
    <t>January 16th, 2023</t>
  </si>
  <si>
    <t>January 6th, 2024</t>
  </si>
  <si>
    <t>Institutional Equities and Research Shadow Day</t>
  </si>
  <si>
    <t>KeyBanc Capital Markets</t>
  </si>
  <si>
    <t>Rothschild &amp; Co</t>
  </si>
  <si>
    <t>US 2025 Global Advisory Summer Analyst</t>
  </si>
  <si>
    <t>Oct 20th, 2023</t>
  </si>
  <si>
    <t>Milwaukee, WI</t>
  </si>
  <si>
    <t>February 20th, 2023</t>
  </si>
  <si>
    <t>January 3rd, 2024</t>
  </si>
  <si>
    <t>Sixth Street Partners</t>
  </si>
  <si>
    <t>Asset Manager</t>
  </si>
  <si>
    <t>Sixth Street Early Insights Program</t>
  </si>
  <si>
    <t>Oct 21st, 2023</t>
  </si>
  <si>
    <t>Centerview Partners (CVP)</t>
  </si>
  <si>
    <t>February Week 7 Push (2/18/24 - 2/24/24)</t>
  </si>
  <si>
    <t>January 23rd, 2023</t>
  </si>
  <si>
    <t>January 23rd, 2024</t>
  </si>
  <si>
    <t>2024 Leadership Diversity Program</t>
  </si>
  <si>
    <t>2025 Corporate &amp; Investment Bank Investment Banking Summer Analyst Program</t>
  </si>
  <si>
    <t>Axom Partners</t>
  </si>
  <si>
    <t>Nov 1st, 2023</t>
  </si>
  <si>
    <t>Nov 9th, 2023</t>
  </si>
  <si>
    <t>Venture Capital</t>
  </si>
  <si>
    <t>LionTree Partners</t>
  </si>
  <si>
    <t>NEA Venture Capital Fellowship</t>
  </si>
  <si>
    <t>Greenhill &amp; Co. (GHL)</t>
  </si>
  <si>
    <t>February 19th, 2023</t>
  </si>
  <si>
    <t>Global Investment Banking Summer Analyst Program - 2025</t>
  </si>
  <si>
    <t>February 16th, 2024</t>
  </si>
  <si>
    <t>Grata</t>
  </si>
  <si>
    <t>M&amp;A Platform</t>
  </si>
  <si>
    <t>Grata Scholars Program</t>
  </si>
  <si>
    <t>Oct 31st, 2023</t>
  </si>
  <si>
    <t>Raine Group</t>
  </si>
  <si>
    <t>Discover Citadel</t>
  </si>
  <si>
    <t>Tidal Partners</t>
  </si>
  <si>
    <t>Nov 11th, 2023</t>
  </si>
  <si>
    <t>2025 Summer Analyst Program</t>
  </si>
  <si>
    <t>TD Securities</t>
  </si>
  <si>
    <t>2024 Invest in Success - Early ID Program</t>
  </si>
  <si>
    <t>Perella Weinberg Partners (PWP)</t>
  </si>
  <si>
    <t>January 4th, 2023</t>
  </si>
  <si>
    <t>December 22nd, 2023</t>
  </si>
  <si>
    <t>Nov 10th, 2023</t>
  </si>
  <si>
    <t>Nov 26th, 2023</t>
  </si>
  <si>
    <t>FT Partners (FT)</t>
  </si>
  <si>
    <t>Fast Track to Investment Banking at William Blair - 2024 Program</t>
  </si>
  <si>
    <t>PJT Partners (PJT)</t>
  </si>
  <si>
    <t>February 15th, 2023</t>
  </si>
  <si>
    <t>January 25th, 2024</t>
  </si>
  <si>
    <t>Chicago, IL</t>
  </si>
  <si>
    <t>Nov 16th, 2023</t>
  </si>
  <si>
    <t>Nov 27th, 2023</t>
  </si>
  <si>
    <t>Citi</t>
  </si>
  <si>
    <t>NAM Investment Banking, Summer Analyst - New York (North America - 2025)</t>
  </si>
  <si>
    <t>Blackstone (BX)</t>
  </si>
  <si>
    <t>Private Equity</t>
  </si>
  <si>
    <t>KKR (KKR)</t>
  </si>
  <si>
    <t>January 10th, 2023</t>
  </si>
  <si>
    <t>2025 Financial Advisory Summer Analyst Program - New York M&amp;A / Restructuring Generalist</t>
  </si>
  <si>
    <t>Ares Management (ARES)</t>
  </si>
  <si>
    <t>Private Equity/Private Credit</t>
  </si>
  <si>
    <t>February 21st, 2023</t>
  </si>
  <si>
    <t>January 4th, 2024</t>
  </si>
  <si>
    <t>Bain Capital (BC)</t>
  </si>
  <si>
    <t>January 12th, 2023</t>
  </si>
  <si>
    <t>January 12th, 2024</t>
  </si>
  <si>
    <t>Vista Equity Partners (VEP)</t>
  </si>
  <si>
    <t>October 26th, 2023</t>
  </si>
  <si>
    <t>February 6th, 2024</t>
  </si>
  <si>
    <t>Insight Partners (INP)</t>
  </si>
  <si>
    <t>September 11th, 2022</t>
  </si>
  <si>
    <t>September 1st, 2023</t>
  </si>
  <si>
    <t>February Week 6 Push (2/11/24 - 2/17/24)</t>
  </si>
  <si>
    <t>Jefferies (JEF)</t>
  </si>
  <si>
    <t>13 contacts</t>
  </si>
  <si>
    <t>Middle Market</t>
  </si>
  <si>
    <t>March 6th, 2023</t>
  </si>
  <si>
    <t>William Blair (WB)</t>
  </si>
  <si>
    <t>January 17th, 2023</t>
  </si>
  <si>
    <t>January 8th, 2024</t>
  </si>
  <si>
    <t>Los Angeles, CA</t>
  </si>
  <si>
    <t>Rothschild &amp; Co. (ROTH)</t>
  </si>
  <si>
    <t>January 28th, 2023</t>
  </si>
  <si>
    <t>November 23rd, 2023</t>
  </si>
  <si>
    <t>Guggenheim Partners (GUG)</t>
  </si>
  <si>
    <t>December 4th, 2023</t>
  </si>
  <si>
    <t>2025 Summer Analyst, Investment Banking - New York City</t>
  </si>
  <si>
    <t>Wells Fargo (WFC)</t>
  </si>
  <si>
    <t>January 7th, 2024</t>
  </si>
  <si>
    <t>Piper Sandler (PIPR)</t>
  </si>
  <si>
    <t>February 3rd, 2023</t>
  </si>
  <si>
    <t>January 29th, 2024</t>
  </si>
  <si>
    <t>January Week 4 Push (1/28/24 - 2/3/24)</t>
  </si>
  <si>
    <t>RBC Capital Markets (RY)</t>
  </si>
  <si>
    <t>September 9th, 2022</t>
  </si>
  <si>
    <t>September 11th, 2023</t>
  </si>
  <si>
    <t>Mizuho (MFG)</t>
  </si>
  <si>
    <t>August 7th, 2023</t>
  </si>
  <si>
    <t>February 9th, 2024</t>
  </si>
  <si>
    <t>Nomura (NMR)</t>
  </si>
  <si>
    <t>March 29th, 2023</t>
  </si>
  <si>
    <t>February 15th, 2024</t>
  </si>
  <si>
    <t>Houlihan Lokey (HLI)</t>
  </si>
  <si>
    <t>February 2nd, 2023</t>
  </si>
  <si>
    <t>November 16th, 2023</t>
  </si>
  <si>
    <t>Oppenheimer &amp; Co. (OPY)</t>
  </si>
  <si>
    <t>March 8th, 2023</t>
  </si>
  <si>
    <t>March 5th, 2024</t>
  </si>
  <si>
    <t>Union Square Advisors</t>
  </si>
  <si>
    <t>Cantor Fitzgerald</t>
  </si>
  <si>
    <t>Nov 22nd, 2023</t>
  </si>
  <si>
    <t>Nov 30th, 2023</t>
  </si>
  <si>
    <t>Raymond James (RJF)</t>
  </si>
  <si>
    <t>Various Locations</t>
  </si>
  <si>
    <t>March 7th, 2023</t>
  </si>
  <si>
    <t>January 18th, 2024</t>
  </si>
  <si>
    <t>Baird (BRD)</t>
  </si>
  <si>
    <t>March 27th, 2023</t>
  </si>
  <si>
    <t>Nov 20th, 2023</t>
  </si>
  <si>
    <t>BMO Capital Markets (BMO)</t>
  </si>
  <si>
    <t>March 17th, 2023</t>
  </si>
  <si>
    <t>January 26th, 2024</t>
  </si>
  <si>
    <t>Class of 2026: Investment Banking Diversity Symposium</t>
  </si>
  <si>
    <t>2025 Summer Analyst Program - Global Banking - New York</t>
  </si>
  <si>
    <t>Lincoln International (LIN)</t>
  </si>
  <si>
    <t>Dec 1st, 2023</t>
  </si>
  <si>
    <t>February 8th, 2023</t>
  </si>
  <si>
    <t>Perella Weinberg Partners</t>
  </si>
  <si>
    <t>U.S. Perella Weinberg Advisory Prep Program</t>
  </si>
  <si>
    <t>Guggenheim Securities</t>
  </si>
  <si>
    <t>2025 Guggenheim Securities Investment Banking Summer Analyst</t>
  </si>
  <si>
    <t>NETWORKING BEAR CASE</t>
  </si>
  <si>
    <t>Dec 4th, 2023</t>
  </si>
  <si>
    <t>CONVERSION CALCULATION</t>
  </si>
  <si>
    <t>EMAILS PER DESIRED REFERRALS</t>
  </si>
  <si>
    <t>MEDIUM (50th)</t>
  </si>
  <si>
    <t>HIGH (75th)</t>
  </si>
  <si>
    <t>Email Response Rate</t>
  </si>
  <si>
    <t>2 Referrals</t>
  </si>
  <si>
    <t>Dec 5th, 2023</t>
  </si>
  <si>
    <t>Stout</t>
  </si>
  <si>
    <t>2025 Investment Banking Summer Analyst (Chicago)</t>
  </si>
  <si>
    <t>Dec 13th, 2023</t>
  </si>
  <si>
    <t>Deloitte</t>
  </si>
  <si>
    <t>Professional Services Firm</t>
  </si>
  <si>
    <t>Deloitte Corporate Finance - Investment Banking 2025 Summer Analyst</t>
  </si>
  <si>
    <t>Dec 16th, 2023</t>
  </si>
  <si>
    <t>Dec 18th, 2023</t>
  </si>
  <si>
    <t>Leerink Partners</t>
  </si>
  <si>
    <t>2025 Investment Banking Summer Analyst Program</t>
  </si>
  <si>
    <t>Dec 19th, 2023</t>
  </si>
  <si>
    <t>Dec 20th, 2023</t>
  </si>
  <si>
    <t>LLR Partners</t>
  </si>
  <si>
    <t>LLR Partners 2024 Diversity Collaborate</t>
  </si>
  <si>
    <t>Dec 14th, 2023</t>
  </si>
  <si>
    <t>Bain Capital Investors of Tomorrow Summit - January 2024</t>
  </si>
  <si>
    <t>Dec 21st, 2023</t>
  </si>
  <si>
    <t>Boston, MA</t>
  </si>
  <si>
    <t>Merchant Bank</t>
  </si>
  <si>
    <t>2025 Summer Analyst</t>
  </si>
  <si>
    <t>Dec 22nd, 2023</t>
  </si>
  <si>
    <t>United States</t>
  </si>
  <si>
    <t>2025 Advisory Summer Analyst (US)</t>
  </si>
  <si>
    <t>The D. E. Shaw Group</t>
  </si>
  <si>
    <t>D.E. Shaw Nexus Fellowship</t>
  </si>
  <si>
    <t>Investment Immersion Program Winter 2024</t>
  </si>
  <si>
    <t>Dec 15th, 2023</t>
  </si>
  <si>
    <t>Westport, CT</t>
  </si>
  <si>
    <t>2024 Capital Markets, U.S. Pathways Diversity Award Program</t>
  </si>
  <si>
    <t>Dec 23rd, 2023</t>
  </si>
  <si>
    <t>2024 Macquarie Insight Days</t>
  </si>
  <si>
    <t>Dec 24th, 2023</t>
  </si>
  <si>
    <t>Banking Analyst Discovery Program 2024 New York</t>
  </si>
  <si>
    <t>Dec 28th, 2023</t>
  </si>
  <si>
    <t>Dec 31st, 2023</t>
  </si>
  <si>
    <t>Aeris Partners</t>
  </si>
  <si>
    <t>Summer Analyst 2025 - Boston &amp; San Francisco Office</t>
  </si>
  <si>
    <t>Dec 12th, 2023</t>
  </si>
  <si>
    <t>Jan 1st, 2024</t>
  </si>
  <si>
    <t>Audax Group</t>
  </si>
  <si>
    <t>Summer Analyst, Private Debt Origination (2025)</t>
  </si>
  <si>
    <t>ATLAS SP Partners</t>
  </si>
  <si>
    <t>Summer 2025 ASPire Internship</t>
  </si>
  <si>
    <t>Conversation Rate</t>
  </si>
  <si>
    <t>Jan 3rd, 2024</t>
  </si>
  <si>
    <t>3 Referrals</t>
  </si>
  <si>
    <t>MUFG</t>
  </si>
  <si>
    <t>2025 Corporate, Investment Banking and Markets (CIBM) Summer Analyst Program</t>
  </si>
  <si>
    <t>January Week 3 Push (1/21/24 - 1/27/24)</t>
  </si>
  <si>
    <t>Referral Rate</t>
  </si>
  <si>
    <t>Guggenheim Securities Investment Banking Sophomore FOCUS Program</t>
  </si>
  <si>
    <t>4 Referrals</t>
  </si>
  <si>
    <t>Follow Through Rate</t>
  </si>
  <si>
    <t>Jan 2nd, 2024</t>
  </si>
  <si>
    <t>5 Referrals</t>
  </si>
  <si>
    <t>Jan 4th, 2024</t>
  </si>
  <si>
    <t>Conversion Rate</t>
  </si>
  <si>
    <t>6 Referrals</t>
  </si>
  <si>
    <t>NETWORKING BULL CASE</t>
  </si>
  <si>
    <t>Investment Banking Summer Analyst, Summer 2025 Program</t>
  </si>
  <si>
    <t>2025 Summer Analyst, Private Equity</t>
  </si>
  <si>
    <t>Elite Boutique / PE</t>
  </si>
  <si>
    <t>2025 Summer Analyst, Secondaries</t>
  </si>
  <si>
    <t>2025 Summer Internship, Early Careers – Investment Banking (New York)</t>
  </si>
  <si>
    <t>JMI Equity</t>
  </si>
  <si>
    <t>2025 Investment Banking Summer Analyst - New York</t>
  </si>
  <si>
    <t>Jan 5th, 2024</t>
  </si>
  <si>
    <t>San Diego, CA</t>
  </si>
  <si>
    <t>2025 Blackstone Tactical Opportunities Summer Analyst</t>
  </si>
  <si>
    <t>2025 Blackstone Credit and Insurance Summer Analyst</t>
  </si>
  <si>
    <t>2025 Blackstone BAAM BPS Summer Analyst</t>
  </si>
  <si>
    <t>January Week 2 Push (1/14/24 - 1/20/24)</t>
  </si>
  <si>
    <t>Jan 6th, 2024</t>
  </si>
  <si>
    <t>Jan 7th, 2024</t>
  </si>
  <si>
    <t>Jan 8th, 2024</t>
  </si>
  <si>
    <t>Jan 9th, 2024</t>
  </si>
  <si>
    <t>AGC Partners</t>
  </si>
  <si>
    <t>Temasek</t>
  </si>
  <si>
    <t>2025 Temasek Associate Internship Programme - Investment Group (United States) (10857)</t>
  </si>
  <si>
    <t>Jan 11th, 2024</t>
  </si>
  <si>
    <t>Internship - Investment Banking Analyst (Restructuring - Summer 2025, NYC)</t>
  </si>
  <si>
    <t>Neuberger Berman</t>
  </si>
  <si>
    <t>Summer Research Analyst - Non-Investment Grade (Summer 2025)</t>
  </si>
  <si>
    <t>Dodge &amp; Cox</t>
  </si>
  <si>
    <t>2025 Investment Associate Internship</t>
  </si>
  <si>
    <t>Cambridge Associates</t>
  </si>
  <si>
    <t>Cambridge Associates: Managing Private Investment Portfolios (CAMPP) Program - May 2024</t>
  </si>
  <si>
    <t>Global Atlantic</t>
  </si>
  <si>
    <t>2025 Global Atlantic Summer Internship Program</t>
  </si>
  <si>
    <t>Jan 12th, 2024</t>
  </si>
  <si>
    <t>2025 Summer Analyst Intern (M&amp;A)</t>
  </si>
  <si>
    <t>Investment Banking Summer Analyst, Financial Sponsors Group, Summer 2025 Program</t>
  </si>
  <si>
    <t>Jan 13th, 2024</t>
  </si>
  <si>
    <t>Jan 16th, 2024</t>
  </si>
  <si>
    <t>The Riverside Company</t>
  </si>
  <si>
    <t>2025 Riverside Micro Cap Summer Analyst</t>
  </si>
  <si>
    <t>Primary Firms</t>
  </si>
  <si>
    <t>Secondary Firms</t>
  </si>
  <si>
    <t>Total Unique People Reached</t>
  </si>
  <si>
    <t>Progress (Target of 2,000)</t>
  </si>
  <si>
    <t>Jan 17th, 2024</t>
  </si>
  <si>
    <t>Email Volume (3x)</t>
  </si>
  <si>
    <t>K1 Investment Management</t>
  </si>
  <si>
    <t>Intern, Diligence (Summer 2025)</t>
  </si>
  <si>
    <t>2025 Investment Banking Summer Analyst (Multiple Locations)-2303516</t>
  </si>
  <si>
    <t>Jan 18th, 2024</t>
  </si>
  <si>
    <t>Truist</t>
  </si>
  <si>
    <t>2025 Truist Securities - Investment Banking - Summer Analyst Program</t>
  </si>
  <si>
    <t>M. Klein &amp; Company</t>
  </si>
  <si>
    <t>2025 M. Klein Summer Analyst Application</t>
  </si>
  <si>
    <t>Société Générale*</t>
  </si>
  <si>
    <t>2025 Investment Banking Summer Analyst Program - New York  - New York, United States</t>
  </si>
  <si>
    <t>Brown Gibbons Lang &amp; Company</t>
  </si>
  <si>
    <t>Sunday</t>
  </si>
  <si>
    <t>Monday</t>
  </si>
  <si>
    <t>Jan 19th, 2024</t>
  </si>
  <si>
    <t>Tuesday</t>
  </si>
  <si>
    <t>Wednesday</t>
  </si>
  <si>
    <t>Thursday</t>
  </si>
  <si>
    <t>Friday</t>
  </si>
  <si>
    <t>Brinley Partners</t>
  </si>
  <si>
    <t>Saturday</t>
  </si>
  <si>
    <t>2025 Summer Analyst, Investment Team</t>
  </si>
  <si>
    <t>Jan 15th, 2024</t>
  </si>
  <si>
    <t>Jan 21st, 2024</t>
  </si>
  <si>
    <t>No Emails
(Weekend)</t>
  </si>
  <si>
    <t>Orion Group</t>
  </si>
  <si>
    <t>No Emails
Close to Wkd</t>
  </si>
  <si>
    <t>Private Equity Summer Analyst (2025)</t>
  </si>
  <si>
    <r>
      <rPr>
        <b/>
        <sz val="10"/>
        <color theme="1"/>
        <rFont val="Inter"/>
      </rPr>
      <t xml:space="preserve">Primary Batch
</t>
    </r>
    <r>
      <rPr>
        <sz val="10"/>
        <color theme="1"/>
        <rFont val="Inter"/>
      </rPr>
      <t>60 - 140 emails</t>
    </r>
  </si>
  <si>
    <r>
      <rPr>
        <b/>
        <sz val="10"/>
        <color theme="1"/>
        <rFont val="Inter"/>
      </rPr>
      <t xml:space="preserve">Follow Ups
</t>
    </r>
    <r>
      <rPr>
        <sz val="10"/>
        <color theme="1"/>
        <rFont val="Inter"/>
      </rPr>
      <t>100+ emails</t>
    </r>
  </si>
  <si>
    <r>
      <rPr>
        <b/>
        <sz val="10"/>
        <color theme="1"/>
        <rFont val="Inter"/>
      </rPr>
      <t xml:space="preserve">Second Batch
</t>
    </r>
    <r>
      <rPr>
        <sz val="10"/>
        <color theme="1"/>
        <rFont val="Inter"/>
      </rPr>
      <t>60 emails</t>
    </r>
  </si>
  <si>
    <t>Graham Partners</t>
  </si>
  <si>
    <t>Private Equity | 2024 &amp; 2025 Summer Analyst - Investment Team Fast Track Analyst (Rising Junior, Class of 2026)</t>
  </si>
  <si>
    <t>MTS Health Partners</t>
  </si>
  <si>
    <t>2025 Summer Analyst, Investment Banking</t>
  </si>
  <si>
    <t>Citadel</t>
  </si>
  <si>
    <t>Citadel Associate Program (Equities) – Summer Internship, 2025 (US)</t>
  </si>
  <si>
    <t>Jan 20th, 2024</t>
  </si>
  <si>
    <t>AEW Capital Management</t>
  </si>
  <si>
    <t>2025 Summer Internship (2026 Graduates)</t>
  </si>
  <si>
    <t>2025 Audax Private Equity Summer Analyst</t>
  </si>
  <si>
    <t>Jan 23rd, 2024</t>
  </si>
  <si>
    <t>Jan 24th, 2024</t>
  </si>
  <si>
    <t>Jan 25th, 2024</t>
  </si>
  <si>
    <t>Summer 2025 Analyst, Investment Team</t>
  </si>
  <si>
    <t>Spectrum Equity</t>
  </si>
  <si>
    <t>Summer Analyst – Growth Private Equity - Application</t>
  </si>
  <si>
    <t>2025 Point72 Academy Investment Analyst Summer Internship Program - US</t>
  </si>
  <si>
    <t>Jan 26th, 2024</t>
  </si>
  <si>
    <t>2025 Stifel Investment Banking Summer Analyst - New York</t>
  </si>
  <si>
    <t>BellMark Partners</t>
  </si>
  <si>
    <t>Summer Intern 2024</t>
  </si>
  <si>
    <t>Jan 22nd, 2024</t>
  </si>
  <si>
    <t>Jan 27th, 2024</t>
  </si>
  <si>
    <t>KPMG</t>
  </si>
  <si>
    <t>Accounting Firm</t>
  </si>
  <si>
    <t>Advisory Intern, Deal Advisory - Financial Due Diligence | Multiple Locations Summer 2025</t>
  </si>
  <si>
    <t>Miller Buckfire</t>
  </si>
  <si>
    <t>2025 Miller Buckfire Investment Banking Restructuring Summer Analyst - New York</t>
  </si>
  <si>
    <t>DC Advisory*</t>
  </si>
  <si>
    <t>Summer Analyst Investment Banking Class - 2025</t>
  </si>
  <si>
    <t>Jan 29th, 2024</t>
  </si>
  <si>
    <t>2025 Summer Financial Analyst - Financial Restructuring - New York</t>
  </si>
  <si>
    <t>Eastdil Secured</t>
  </si>
  <si>
    <t>2025 U.S. Corporate Advisory / M&amp;A Summer Internship</t>
  </si>
  <si>
    <t>Macquarie Group*</t>
  </si>
  <si>
    <t>2025 Macquarie Capital Summer Analyst Internship Program</t>
  </si>
  <si>
    <t>Jan 30th, 2024</t>
  </si>
  <si>
    <t>Silversmith Capital Partners</t>
  </si>
  <si>
    <t>Summer Analyst 2025</t>
  </si>
  <si>
    <t>Feb 7th, 2024</t>
  </si>
  <si>
    <t>Piper Sandler*</t>
  </si>
  <si>
    <t>Campus Recruiting – 2025 Investment Banking Summer Analyst – New York</t>
  </si>
  <si>
    <t>Jan 31st, 2024</t>
  </si>
  <si>
    <t>Investment Banking Summer 2025 Analyst - New York</t>
  </si>
  <si>
    <t>Feb 1st, 2024</t>
  </si>
  <si>
    <t>Jefferies*</t>
  </si>
  <si>
    <t>2025 Investment Banking Summer Analyst Program - New York, Generalist</t>
  </si>
  <si>
    <t>2025 Strategic Advisory: Mergers &amp; Acquisitions Summer Analyst Program – New York</t>
  </si>
  <si>
    <t>2025 Capital Markets Advisory: Private Capital Markets and Debt Advisory Summer Analyst Program – New York</t>
  </si>
  <si>
    <t>Goldman Sachs Application Tracker</t>
  </si>
  <si>
    <t>Financial Technology Partners</t>
  </si>
  <si>
    <t>2025 Summer Analyst, Investment Banking (New York)</t>
  </si>
  <si>
    <t>Contact</t>
  </si>
  <si>
    <t>2025 Summer Analyst - Strategic Advisory (New York)</t>
  </si>
  <si>
    <t>Conversation</t>
  </si>
  <si>
    <t>Name</t>
  </si>
  <si>
    <t>Email</t>
  </si>
  <si>
    <t>Position</t>
  </si>
  <si>
    <t>Private Markets - Discovery 2024 Internship Program for Sophomores</t>
  </si>
  <si>
    <t>Location</t>
  </si>
  <si>
    <t>Date</t>
  </si>
  <si>
    <t>Notes</t>
  </si>
  <si>
    <t>Comments</t>
  </si>
  <si>
    <t>(First Last)</t>
  </si>
  <si>
    <t>(email)</t>
  </si>
  <si>
    <t>(role)</t>
  </si>
  <si>
    <t>(city)</t>
  </si>
  <si>
    <t>(date)</t>
  </si>
  <si>
    <t>x/10</t>
  </si>
  <si>
    <t>(link)</t>
  </si>
  <si>
    <t>(notes)</t>
  </si>
  <si>
    <t>Equity Research Associate Internship - Summer 2025</t>
  </si>
  <si>
    <t>BNP Paribas*</t>
  </si>
  <si>
    <t>2025 - Summer Analyst Internship - Unified Sectors-Advisory and M&amp;A</t>
  </si>
  <si>
    <t>Feb 2nd, 2024</t>
  </si>
  <si>
    <t>Banking Analyst Internship Program 2025 New York City</t>
  </si>
  <si>
    <t>Feb 3rd, 2024</t>
  </si>
  <si>
    <t>Bracebridge Capital, LLC</t>
  </si>
  <si>
    <t>Capital Group</t>
  </si>
  <si>
    <t>CAP Summer Associate - US (2025)</t>
  </si>
  <si>
    <t>D. E. Shaw &amp; Co.</t>
  </si>
  <si>
    <t>D. E. Shaw Investment Management (DESIM) Intern (New York) – Summer 2025, NYC</t>
  </si>
  <si>
    <t>Shea &amp; Company, LLC</t>
  </si>
  <si>
    <t>Shea &amp; Company 2025 Summer Analyst (Internship)</t>
  </si>
  <si>
    <t>Evergreen Services Group</t>
  </si>
  <si>
    <t>Summer Investing Analyst</t>
  </si>
  <si>
    <t>Information</t>
  </si>
  <si>
    <t>Feb 6th, 2024</t>
  </si>
  <si>
    <t>LinkedIn</t>
  </si>
  <si>
    <t>Mizuho</t>
  </si>
  <si>
    <t>Contacted</t>
  </si>
  <si>
    <t>2025 Investment &amp; Corporate Banking Summer Analyst - New York Office</t>
  </si>
  <si>
    <t>Status</t>
  </si>
  <si>
    <t>Connection / Comment</t>
  </si>
  <si>
    <t>https://www.linkedin.com/feed/</t>
  </si>
  <si>
    <t>Feb 9th, 2024</t>
  </si>
  <si>
    <t>General Atlantic</t>
  </si>
  <si>
    <t>2025 Investment Areas Summer Analyst</t>
  </si>
  <si>
    <t>Responded</t>
  </si>
  <si>
    <t>Feb 4th, 2024</t>
  </si>
  <si>
    <t>2025 Summer Analyst, Investor Relations</t>
  </si>
  <si>
    <t>Feb 12th, 2024</t>
  </si>
  <si>
    <t>PIMCO Prep 2024</t>
  </si>
  <si>
    <t>Feb 13th, 2024</t>
  </si>
  <si>
    <t>Nomura*</t>
  </si>
  <si>
    <t>2025 Investment Banking Summer Analyst Program - New York</t>
  </si>
  <si>
    <t>Feb 15th, 2024</t>
  </si>
  <si>
    <t>Feb 16th, 2024</t>
  </si>
  <si>
    <t>Greenhill &amp; Co.*</t>
  </si>
  <si>
    <t>2025 Investment Banking Summer Analyst – M&amp;A – New York</t>
  </si>
  <si>
    <t>Waterfall Asset Management</t>
  </si>
  <si>
    <t>Summer 2025 Analyst</t>
  </si>
  <si>
    <t>2024 Capital Markets, Culture &amp; Discovery Day</t>
  </si>
  <si>
    <t>Followed Up</t>
  </si>
  <si>
    <t>Feb 19th, 2024</t>
  </si>
  <si>
    <t>2025 KBCM Investment Banking Summer Analyst - New York, NY</t>
  </si>
  <si>
    <t>District Capital Partners*</t>
  </si>
  <si>
    <t>Summer Investment Banking Analyst</t>
  </si>
  <si>
    <t>Feb 25th, 2024</t>
  </si>
  <si>
    <t>Washington DC</t>
  </si>
  <si>
    <t>Sumitomo Mitsui Banking Co*</t>
  </si>
  <si>
    <t>2025 Summer Intern Program – Capital Markets Origination</t>
  </si>
  <si>
    <t>2025 Summer Intern Program - Corporate &amp; Investment Banking Coverage</t>
  </si>
  <si>
    <t>2025 Summer Intern Program - Loan Capital Markets – Origination Group - NY</t>
  </si>
  <si>
    <t>Croft &amp; Bender</t>
  </si>
  <si>
    <t>Croft &amp; Bender Investment Banking Summer Analyst Program</t>
  </si>
  <si>
    <t>Atlanta, GA</t>
  </si>
  <si>
    <t>Chartwell Financial Advisory*</t>
  </si>
  <si>
    <t>2025 Investment Banking Intern- Chicago, IL</t>
  </si>
  <si>
    <t>Sent</t>
  </si>
  <si>
    <t>Cascadia Capital*</t>
  </si>
  <si>
    <t>Seattle, WA</t>
  </si>
  <si>
    <t>Berkeley Research Group*</t>
  </si>
  <si>
    <t>2025 - Summer Associate (Intern), Corporate Finance - Turnaround and Restructuring</t>
  </si>
  <si>
    <t>Feb 5th, 2024</t>
  </si>
  <si>
    <t>England &amp; Company</t>
  </si>
  <si>
    <t>Investment Associate Intern - 2025</t>
  </si>
  <si>
    <t>Summer 2025 Investment Intern</t>
  </si>
  <si>
    <t>Feb 24th, 2024</t>
  </si>
  <si>
    <t>Various</t>
  </si>
  <si>
    <t>Corporate Development Generalist (NYC)</t>
  </si>
  <si>
    <t>Ruane, Cunniff &amp; Goldfarb Inc</t>
  </si>
  <si>
    <t>Sequoia Fund Investment Analyst Internship - Summer 2025</t>
  </si>
  <si>
    <t>Feb 26th, 2024</t>
  </si>
  <si>
    <t>Pending</t>
  </si>
  <si>
    <t>Upsilon Family</t>
  </si>
  <si>
    <t>Family Office</t>
  </si>
  <si>
    <t>VC Summer / Part-Time Internship</t>
  </si>
  <si>
    <t>Feb 18th, 2024</t>
  </si>
  <si>
    <t>2025 Private Equity Summer Analyst</t>
  </si>
  <si>
    <t>Capital One*</t>
  </si>
  <si>
    <t>Commercial Bank</t>
  </si>
  <si>
    <t>Investment Banking Summer Internship Analyst - Summer 2025</t>
  </si>
  <si>
    <t>Feb 27th, 2024</t>
  </si>
  <si>
    <t>2025 Blackstone Real Estate Acquisition Summer Analyst, Hong Kong/ Shanghai</t>
  </si>
  <si>
    <t>Feb 29th, 2024</t>
  </si>
  <si>
    <t>Hong Kong SAR</t>
  </si>
  <si>
    <t>Mar 1st, 2024</t>
  </si>
  <si>
    <t>Alpine Investors</t>
  </si>
  <si>
    <t>Alpine HQ Summer Investing Analyst (2025)</t>
  </si>
  <si>
    <t>Meridian Capital</t>
  </si>
  <si>
    <t>2025 Investment Banking Summer Analyst Intern</t>
  </si>
  <si>
    <t>Ardian</t>
  </si>
  <si>
    <t>Secondaries &amp; Primaries Summer 2025 Internship - Private Equity</t>
  </si>
  <si>
    <t>Nassau Financial Group</t>
  </si>
  <si>
    <t>Intern - Portfolio Management</t>
  </si>
  <si>
    <t>Hartford, CT</t>
  </si>
  <si>
    <t>Alvarez &amp; Marsal, LLC</t>
  </si>
  <si>
    <t>Restructuring Summer Analyst - June 2025</t>
  </si>
  <si>
    <t>Long Ridge Equity Partners</t>
  </si>
  <si>
    <t>Summer Analyst, Growth Equity (2025): Job Application</t>
  </si>
  <si>
    <t>Mar 4th, 2024</t>
  </si>
  <si>
    <t>Mar 9th, 2024</t>
  </si>
  <si>
    <t>Oppenheimer &amp; Co. Inc.</t>
  </si>
  <si>
    <t xml:space="preserve">Oppenheimer 2025 Technology, Media and Communications Investment Banking Summer Internship Application </t>
  </si>
  <si>
    <t>Mar 5th, 2024</t>
  </si>
  <si>
    <t>AQ Technology Partners</t>
  </si>
  <si>
    <t>Investment Banking Summer Analyst - 2025</t>
  </si>
  <si>
    <t>Redwood City, CA</t>
  </si>
  <si>
    <t>Northborne Partners</t>
  </si>
  <si>
    <t>Minneapolis, MN</t>
  </si>
  <si>
    <t>Rockefeller Capital Management</t>
  </si>
  <si>
    <t>2025 Summer Analyst - Strategic Advisory</t>
  </si>
  <si>
    <t>ACTIVE PROCESSES</t>
  </si>
  <si>
    <t>Last Contact</t>
  </si>
  <si>
    <t>Application Stage</t>
  </si>
  <si>
    <t>Next Steps</t>
  </si>
  <si>
    <t>INACTIVE PROCESSES</t>
  </si>
  <si>
    <t>Morgan Stanley Application Tracker</t>
  </si>
  <si>
    <t>Alex Cheung</t>
  </si>
  <si>
    <t>Associate</t>
  </si>
  <si>
    <t>I've literally talked with him before (but I just don't know how to folow up and shit &amp; get that meeting in)</t>
  </si>
  <si>
    <t>Jesus Soto</t>
  </si>
  <si>
    <t>Analyst</t>
  </si>
  <si>
    <t>https://www.linkedin.com/in/jesussoto1/</t>
  </si>
  <si>
    <t>Mutual connect with Jiajun? Maybe ask for the reference later</t>
  </si>
  <si>
    <t>Nick Goomer</t>
  </si>
  <si>
    <t>Berkley kid -&gt; UC connect email</t>
  </si>
  <si>
    <t>Shilpi Saran</t>
  </si>
  <si>
    <t>Director</t>
  </si>
  <si>
    <t>https://www.linkedin.com/in/shilpisaran/?lipi=urn%3Ali%3Apage%3Ad_flagship3_search_srp_people%3B6rV%2F3paBSd6%2FWzle2YJfuw%3D%3D</t>
  </si>
  <si>
    <t>Matt Carbonara = mutual (and Berkeley kid)</t>
  </si>
  <si>
    <t>Kevin Gu</t>
  </si>
  <si>
    <t>Mutual of Tomoya?</t>
  </si>
  <si>
    <t>Patris Rokni</t>
  </si>
  <si>
    <t>https://www.linkedin.com/in/patris-rokni-91749b221/?lipi=urn%3Ali%3Apage%3Ad_flagship3_search_srp_people%3BxeqC7VRLQ%2BGM%2BbUh7hj4Pg%3D%3D</t>
  </si>
  <si>
    <t>Mutual of Matei?</t>
  </si>
  <si>
    <t>JP Morgan Application Tracker</t>
  </si>
  <si>
    <t>Evercore Application Tracker</t>
  </si>
  <si>
    <t>Chinmay Patel</t>
  </si>
  <si>
    <t>associate</t>
  </si>
  <si>
    <t>https://www.linkedin.com/in/chinmayhpatel/</t>
  </si>
  <si>
    <t>should be good (MGMT 1A TA and stuff but idk how I'd reach out)</t>
  </si>
  <si>
    <t>Anoush Torounian</t>
  </si>
  <si>
    <t>analyst</t>
  </si>
  <si>
    <t>https://www.linkedin.com/in/anoush-torounian/</t>
  </si>
  <si>
    <t>Yihan Liu</t>
  </si>
  <si>
    <t>https://www.linkedin.com/in/yihan-cherrie-liu-ba8aa578/</t>
  </si>
  <si>
    <t>Heschel = mutual (reach out to Heschel?)</t>
  </si>
  <si>
    <t>Richard Fan</t>
  </si>
  <si>
    <t>https://www.linkedin.com/in/richard-fan-98336114a/</t>
  </si>
  <si>
    <t>Jacob = mutual (mmmm)</t>
  </si>
  <si>
    <t>Ro Das</t>
  </si>
  <si>
    <t>VP</t>
  </si>
  <si>
    <t>https://www.linkedin.com/in/dasrohit93/</t>
  </si>
  <si>
    <t>Anya is a mutual -&gt; beg for referral + ask to be mentor?</t>
  </si>
  <si>
    <t>Kevin Zheng</t>
  </si>
  <si>
    <t>https://www.linkedin.com/in/kevinzheng909/</t>
  </si>
  <si>
    <t>hella mutuals -&gt; should just ask someone I think (Alan prolly)</t>
  </si>
  <si>
    <t>Chasen Volkel</t>
  </si>
  <si>
    <t>https://www.linkedin.com/in/chasenvolkel/</t>
  </si>
  <si>
    <t>UCLA Evercore (Tomoya &amp; Manek are mutuals)</t>
  </si>
  <si>
    <t>Jeffries Application Tracker</t>
  </si>
  <si>
    <t>Evercore (EVR) &amp; Evercore (EVRNY) NY</t>
  </si>
  <si>
    <t>Goldman Sachs (GS) &amp; Goldman NY (GSNY)</t>
  </si>
  <si>
    <t>JP Morgan (JPM) &amp; JP Morgan NY (JPMNY)</t>
  </si>
  <si>
    <t>UBS (UBS) &amp; UBS NY (UBSNY)</t>
  </si>
  <si>
    <t>Barclays (BARC) &amp; Barclays NY (BARCNY)</t>
  </si>
  <si>
    <t>Citigroup (C) &amp; Citi NY (CNY)</t>
  </si>
  <si>
    <t>Morgan Stanley New York Application Tracker</t>
  </si>
  <si>
    <t>Morgan Stanley (MS) &amp; MS NY)</t>
  </si>
  <si>
    <t>Lazard Application Tracker</t>
  </si>
  <si>
    <t>https://www.linkedin.com/in/enochyl/</t>
  </si>
  <si>
    <t>Enoch Lee</t>
  </si>
  <si>
    <t>Charles B</t>
  </si>
  <si>
    <t>https://www.linkedin.com/in/charlesbogatyrenko/</t>
  </si>
  <si>
    <t>UCLA</t>
  </si>
  <si>
    <t>Jacob = mutual (prayge)</t>
  </si>
  <si>
    <t>https://www.linkedin.com/in/tensaehy/</t>
  </si>
  <si>
    <t>Tensae Yohannes</t>
  </si>
  <si>
    <t>Uprep &amp; UW Foster kid LMAO</t>
  </si>
  <si>
    <t>Navin Raghuraman</t>
  </si>
  <si>
    <t>https://www.linkedin.com/in/navinraghuraman/</t>
  </si>
  <si>
    <t>UCLA, 26 mutuals (incl Leo &amp; stuff)</t>
  </si>
  <si>
    <t>https://www.linkedin.com/in/viraajkurri/</t>
  </si>
  <si>
    <t>Viraaj Kurri</t>
  </si>
  <si>
    <t>Leon W</t>
  </si>
  <si>
    <t>Chase Lee</t>
  </si>
  <si>
    <t>semiconductor, graduated from Berkeley</t>
  </si>
  <si>
    <t>https://www.linkedin.com/in/bentakowsky/?lipi=urn%3Ali%3Apage%3Ad_flagship3_search_srp_people%3BNaZU4V2STeKeySsDpc15Eg%3D%3D</t>
  </si>
  <si>
    <t>Ben Takowsky</t>
  </si>
  <si>
    <t>https://www.linkedin.com/in/leon-wu-0310lw/</t>
  </si>
  <si>
    <t>https://www.linkedin.com/in/chase-c-lee/?lipi=urn%3Ali%3Apage%3Ad_flagship3_search_srp_people%3BizO3FQoZSOKIw%2F3W8AakGw%3D%3D</t>
  </si>
  <si>
    <t>https://www.linkedin.com/in/nickgoomer/</t>
  </si>
  <si>
    <t>Mitchell Stiemle</t>
  </si>
  <si>
    <t>USC</t>
  </si>
  <si>
    <t>Suyash Gupta</t>
  </si>
  <si>
    <t>Tennis</t>
  </si>
  <si>
    <t>Anthony Ngassa</t>
  </si>
  <si>
    <t>https://www.linkedin.com/in/anthony-ngassa-9313411b5/?lipi=urn%3Ali%3Apage%3Ad_flagship3_search_srp_people%3BkqSe9j4ESteSvzyRAXhZ0w%3D%3D</t>
  </si>
  <si>
    <t>IDK</t>
  </si>
  <si>
    <t>https://www.linkedin.com/in/lucy-wang-0171128/?lipi=urn%3Ali%3Apage%3Ad_flagship3_search_srp_people%3BkqSe9j4ESteSvzyRAXhZ0w%3D%3D</t>
  </si>
  <si>
    <t xml:space="preserve">Lucy Wang </t>
  </si>
  <si>
    <t>MD</t>
  </si>
  <si>
    <t>IDK holy cracked (USC?)</t>
  </si>
  <si>
    <t>Vineet Seth</t>
  </si>
  <si>
    <t>https://www.linkedin.com/in/vineet-seth-216a302/?lipi=urn%3Ali%3Apage%3Ad_flagship3_search_srp_people%3BkqSe9j4ESteSvzyRAXhZ0w%3D%3D</t>
  </si>
  <si>
    <t>Co-Head</t>
  </si>
  <si>
    <t>Matt Seiter</t>
  </si>
  <si>
    <t>https://www.linkedin.com/in/matt-seiter-14a68943/?lipi=urn%3Ali%3Apage%3Ad_flagship3_search_srp_people%3BkqSe9j4ESteSvzyRAXhZ0w%3D%3D</t>
  </si>
  <si>
    <t>Cracked AF (idek)</t>
  </si>
  <si>
    <t>Cracked AF (mutual with Craig, ig?)</t>
  </si>
  <si>
    <t>Mark Bunkers</t>
  </si>
  <si>
    <t>https://www.linkedin.com/in/mark-bunkers/?lipi=urn%3Ali%3Apage%3Ad_flagship3_search_srp_people%3BewckZrMjRRikO27vRCpubg%3D%3D</t>
  </si>
  <si>
    <t>Interesting Career Path -&gt; Santa clara university (idk if I could ask about that?)</t>
  </si>
  <si>
    <t>https://www.linkedin.com/in/suyashgupta2022/</t>
  </si>
  <si>
    <t>https://www.linkedin.com/in/mitchell-steimle/</t>
  </si>
  <si>
    <t>Rothschild Application Tracker</t>
  </si>
  <si>
    <t>Jeff Lee</t>
  </si>
  <si>
    <t>https://www.linkedin.com/in/jeffjeseoklee/</t>
  </si>
  <si>
    <t>Kunal Amin</t>
  </si>
  <si>
    <t>https://www.linkedin.com/in/kunalamin-ksb/</t>
  </si>
  <si>
    <t>Alan Xu</t>
  </si>
  <si>
    <t>https://www.linkedin.com/in/alanxu4/</t>
  </si>
  <si>
    <t>K Raj Dayalan</t>
  </si>
  <si>
    <t>https://www.linkedin.com/in/k-raj-dayalan-aa7741/</t>
  </si>
  <si>
    <t>UCLA Anderson</t>
  </si>
  <si>
    <t>Tigran Ron A.</t>
  </si>
  <si>
    <t>https://www.linkedin.com/in/tigran-ron-a-85929bb0/</t>
  </si>
  <si>
    <t xml:space="preserve">UCLA  </t>
  </si>
  <si>
    <t>https://www.linkedin.com/in/riccardo-ferrara-usc/</t>
  </si>
  <si>
    <t>Riccardo Ferrara</t>
  </si>
  <si>
    <t>Erin McGee</t>
  </si>
  <si>
    <t>https://www.linkedin.com/in/mcgee-erin/</t>
  </si>
  <si>
    <t>UCLA (BVI, IB Workshop)</t>
  </si>
  <si>
    <t>Arnav Bhau</t>
  </si>
  <si>
    <t>https://www.linkedin.com/in/arnavbhau/</t>
  </si>
  <si>
    <t>Harry Tong</t>
  </si>
  <si>
    <t>https://www.linkedin.com/in/harry-tong-5bb816251/</t>
  </si>
  <si>
    <t>Tommy Han</t>
  </si>
  <si>
    <t>https://www.linkedin.com/in/tommy117/</t>
  </si>
  <si>
    <t>Alicia Ye</t>
  </si>
  <si>
    <t>https://www.linkedin.com/in/aliciaye02/</t>
  </si>
  <si>
    <t>Steve West</t>
  </si>
  <si>
    <t>Vice-Chairman</t>
  </si>
  <si>
    <t>https://www.linkedin.com/in/steve-west-a1811836/</t>
  </si>
  <si>
    <t>Fudan</t>
  </si>
  <si>
    <t>UC Berkeley</t>
  </si>
  <si>
    <t>Justin Liu</t>
  </si>
  <si>
    <t>Senior VP</t>
  </si>
  <si>
    <t>Justin Lutsch</t>
  </si>
  <si>
    <t>Berkeley MBA (weak)</t>
  </si>
  <si>
    <t>Evan Osheroff</t>
  </si>
  <si>
    <t>Lowkey nothing (Tepper -&gt; Columbia)</t>
  </si>
  <si>
    <t>MD?</t>
  </si>
  <si>
    <t>Scott Snow</t>
  </si>
  <si>
    <t>Shawn Tran</t>
  </si>
  <si>
    <t xml:space="preserve">Berkeley? </t>
  </si>
  <si>
    <t>Anya Raju = mutual?</t>
  </si>
  <si>
    <t>Gaurav Thakur</t>
  </si>
  <si>
    <t>UCSB. EY -&gt; IB</t>
  </si>
  <si>
    <t>German Rodriguez</t>
  </si>
  <si>
    <t>Alex Lu</t>
  </si>
  <si>
    <t>USC -&gt; UCLA MBA</t>
  </si>
  <si>
    <t>Ville Myllymaeki</t>
  </si>
  <si>
    <t>Dagny Streit</t>
  </si>
  <si>
    <t>https://www.linkedin.com/in/dagny-streit/</t>
  </si>
  <si>
    <t>https://www.linkedin.com/in/ville-myllymaeki-071805212/</t>
  </si>
  <si>
    <t>https://www.linkedin.com/in/alexlu2/</t>
  </si>
  <si>
    <t>https://www.linkedin.com/in/german-a-rodriguez00/</t>
  </si>
  <si>
    <t>https://www.linkedin.com/in/shawn-tran-255568157/</t>
  </si>
  <si>
    <t>https://www.linkedin.com/in/gauravthakur027/</t>
  </si>
  <si>
    <t>https://www.linkedin.com/in/scottksnow/</t>
  </si>
  <si>
    <t>https://www.linkedin.com/in/justinlutsch/</t>
  </si>
  <si>
    <t>https://www.linkedin.com/in/justinxliu/</t>
  </si>
  <si>
    <t>Berkeley</t>
  </si>
  <si>
    <t>UCSB</t>
  </si>
  <si>
    <t>Note: A lot of these people are connected with this one ex-Jefferies guy I'm connected to on LinkedIn (Don Wallace)</t>
  </si>
  <si>
    <t>Qatalyst Application Tracker</t>
  </si>
  <si>
    <t>Bank of America Application Tracker</t>
  </si>
  <si>
    <t>Rajeet Chatterjee</t>
  </si>
  <si>
    <t>https://www.linkedin.com/in/rajeetc/</t>
  </si>
  <si>
    <t>Rikita Shah</t>
  </si>
  <si>
    <t>Head</t>
  </si>
  <si>
    <t>https://www.linkedin.com/in/ritikapshah/?lipi=urn%3Ali%3Apage%3Ad_flagship3_search_srp_people%3B3yP3BPZATvyO1hqw1q76zQ%3D%3D</t>
  </si>
  <si>
    <t>Anderson</t>
  </si>
  <si>
    <t>Rajvir Kohli</t>
  </si>
  <si>
    <t>https://www.linkedin.com/in/rajvirkohli/?lipi=urn%3Ali%3Apage%3Ad_flagship3_search_srp_people%3B3yP3BPZATvyO1hqw1q76zQ%3D%3D</t>
  </si>
  <si>
    <t>UCLA Grad</t>
  </si>
  <si>
    <t>Yusuf Kazi</t>
  </si>
  <si>
    <t>https://www.linkedin.com/in/yusuf-kazi/?lipi=urn%3Ali%3Apage%3Ad_flagship3_search_srp_people%3BrsjV2xkzR2KeZRGT8SmAxA%3D%3D</t>
  </si>
  <si>
    <t>Berkeley MBA</t>
  </si>
  <si>
    <t>Umi Mehta</t>
  </si>
  <si>
    <t>https://www.linkedin.com/in/umimehta/?lipi=urn%3Ali%3Apage%3Ad_flagship3_search_srp_people%3BrsjV2xkzR2KeZRGT8SmAxA%3D%3D</t>
  </si>
  <si>
    <t>Anderson grad</t>
  </si>
  <si>
    <t>Muneer Ali</t>
  </si>
  <si>
    <t>https://www.linkedin.com/in/muneerali/?lipi=urn%3Ali%3Apage%3Ad_flagship3_search_srp_people%3BBmKq1c0iThmW8uFLOhDRdA%3D%3D</t>
  </si>
  <si>
    <t>Eric Gross</t>
  </si>
  <si>
    <t>https://www.linkedin.com/in/grosseric/?lipi=urn%3Ali%3Apage%3Ad_flagship3_search_srp_people%3BBmKq1c0iThmW8uFLOhDRdA%3D%3D</t>
  </si>
  <si>
    <t>Xinyi Jiang</t>
  </si>
  <si>
    <t>https://www.linkedin.com/in/xinyijiang96/?lipi=urn%3Ali%3Apage%3Ad_flagship3_search_srp_people%3BBmKq1c0iThmW8uFLOhDRdA%3D%3D</t>
  </si>
  <si>
    <t>Chinese?</t>
  </si>
  <si>
    <t>James Nichol</t>
  </si>
  <si>
    <t>https://www.linkedin.com/in/james-casey-nichol/?lipi=urn%3Ali%3Apage%3Ad_flagship3_search_srp_people%3Bl99vgMP8TpaVR53FGqP%2BTg%3D%3D</t>
  </si>
  <si>
    <t>USC undergrad</t>
  </si>
  <si>
    <t>Citi Application Tracker</t>
  </si>
  <si>
    <t>https://www.linkedin.com/in/haseeb-bajwa-ab2a3219/?lipi=urn%3Ali%3Apage%3Ad_flagship3_search_srp_people%3BLh9AFuWoRxmV8rQdMSDHNg%3D%3D</t>
  </si>
  <si>
    <t>Haseeb Bajwa</t>
  </si>
  <si>
    <t xml:space="preserve">UCLA </t>
  </si>
  <si>
    <t>Nader Ghiassi</t>
  </si>
  <si>
    <t>https://www.linkedin.com/in/nader-ghiassi-8283a6149/?lipi=urn%3Ali%3Apage%3Ad_flagship3_search_srp_people%3BLh9AFuWoRxmV8rQdMSDHNg%3D%3D</t>
  </si>
  <si>
    <t>Steven Han</t>
  </si>
  <si>
    <t>https://www.linkedin.com/in/steven-han-837661167/?lipi=urn%3Ali%3Apage%3Ad_flagship3_search_srp_people%3BfQT6CLFXRPixcZUsNyYE6g%3D%3D</t>
  </si>
  <si>
    <t>Vish Rao</t>
  </si>
  <si>
    <t>https://www.linkedin.com/in/vishwa-rao/?lipi=urn%3Ali%3Apage%3Ad_flagship3_search_srp_people%3B88vcMj3fQRSPM21tqx1Orw%3D%3D</t>
  </si>
  <si>
    <t>Ryan Weir</t>
  </si>
  <si>
    <t>https://www.linkedin.com/in/ryan-weirca/?lipi=urn%3Ali%3Apage%3Ad_flagship3_search_srp_people%3B88vcMj3fQRSPM21tqx1Orw%3D%3D</t>
  </si>
  <si>
    <t>Senior Associate</t>
  </si>
  <si>
    <t>https://www.linkedin.com/in/jasonyqi/?lipi=urn%3Ali%3Apage%3Ad_flagship3_search_srp_people%3B88vcMj3fQRSPM21tqx1Orw%3D%3D</t>
  </si>
  <si>
    <t>Jason Qi</t>
  </si>
  <si>
    <t>Albert Xie</t>
  </si>
  <si>
    <t>https://www.linkedin.com/in/albert-b-xie/</t>
  </si>
  <si>
    <t>https://www.linkedin.com/in/benjaminhchung/?lipi=urn%3Ali%3Apage%3Ad_flagship3_search_srp_people%3BtMl%2BeJ4%2BQPG3Rjf%2BCd4D0Q%3D%3D</t>
  </si>
  <si>
    <t>Benjamin Chung</t>
  </si>
  <si>
    <t>Erin Dea</t>
  </si>
  <si>
    <t>https://www.linkedin.com/in/erindea/?lipi=urn%3Ali%3Apage%3Ad_flagship3_search_srp_people%3BLu7JuDlvRxmWPRFrzWNGZQ%3D%3D</t>
  </si>
  <si>
    <t>Noah Simon</t>
  </si>
  <si>
    <t>https://www.linkedin.com/in/noahjaysimon/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</si>
</sst>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/d"/>
  </numFmts>
  <fonts count="41">
    <font>
      <sz val="10"/>
      <color rgb="FF000000"/>
      <name val="Arial"/>
      <scheme val="minor"/>
    </font>
    <font>
      <b/>
      <sz val="10"/>
      <color rgb="FFFFFFFF"/>
      <name val="Inter"/>
    </font>
    <font>
      <sz val="10"/>
      <color theme="1"/>
      <name val="Inter"/>
    </font>
    <font>
      <sz val="10"/>
      <color rgb="FF000000"/>
      <name val="Inter"/>
    </font>
    <font>
      <sz val="10"/>
      <color rgb="FF000000"/>
      <name val="Inter"/>
    </font>
    <font>
      <sz val="10"/>
      <color theme="1"/>
      <name val="Inter"/>
    </font>
    <font>
      <u/>
      <sz val="10"/>
      <color rgb="FF0000FF"/>
      <name val="Inter"/>
    </font>
    <font>
      <b/>
      <sz val="10"/>
      <color rgb="FF000000"/>
      <name val="Inter"/>
    </font>
    <font>
      <u/>
      <sz val="10"/>
      <color rgb="FF000000"/>
      <name val="Inter"/>
    </font>
    <font>
      <u/>
      <sz val="10"/>
      <color rgb="FF0000FF"/>
      <name val="Inter"/>
    </font>
    <font>
      <b/>
      <sz val="10"/>
      <color theme="1"/>
      <name val="Inter"/>
    </font>
    <font>
      <b/>
      <sz val="10"/>
      <color theme="1"/>
      <name val="Inter"/>
    </font>
    <font>
      <sz val="10"/>
      <color theme="1"/>
      <name val="Arial"/>
      <scheme val="minor"/>
    </font>
    <font>
      <sz val="10"/>
      <name val="Arial"/>
    </font>
    <font>
      <sz val="10"/>
      <color rgb="FFFFFFFF"/>
      <name val="Inter"/>
    </font>
    <font>
      <b/>
      <sz val="10"/>
      <color rgb="FF0D5295"/>
      <name val="Inter"/>
    </font>
    <font>
      <sz val="12"/>
      <color theme="1"/>
      <name val="Inter"/>
    </font>
    <font>
      <u/>
      <sz val="10"/>
      <color rgb="FF1155CC"/>
      <name val="Inter"/>
    </font>
    <font>
      <sz val="15"/>
      <color theme="1"/>
      <name val="Inter"/>
    </font>
    <font>
      <b/>
      <u/>
      <sz val="15"/>
      <color rgb="FFFFFFFF"/>
      <name val="Inter"/>
    </font>
    <font>
      <sz val="10"/>
      <color theme="1"/>
      <name val="Arial"/>
    </font>
    <font>
      <sz val="10"/>
      <color rgb="FF38761D"/>
      <name val="Inter"/>
    </font>
    <font>
      <u/>
      <sz val="10"/>
      <color rgb="FF1155CC"/>
      <name val="Inter"/>
    </font>
    <font>
      <b/>
      <u/>
      <sz val="15"/>
      <color rgb="FFFFFFFF"/>
      <name val="Inter"/>
    </font>
    <font>
      <sz val="10"/>
      <color rgb="FFFF9900"/>
      <name val="Inter"/>
    </font>
    <font>
      <u/>
      <sz val="10"/>
      <color theme="1"/>
      <name val="Inter"/>
    </font>
    <font>
      <b/>
      <u/>
      <sz val="15"/>
      <color rgb="FFFFFFFF"/>
      <name val="Inter"/>
    </font>
    <font>
      <sz val="9"/>
      <color theme="1"/>
      <name val="Inter"/>
    </font>
    <font>
      <sz val="10"/>
      <color rgb="FF0000FF"/>
      <name val="Inter"/>
    </font>
    <font>
      <u/>
      <sz val="10"/>
      <color rgb="FF1155CC"/>
      <name val="Inter"/>
    </font>
    <font>
      <u/>
      <sz val="10"/>
      <color theme="1"/>
      <name val="Inter"/>
    </font>
    <font>
      <u/>
      <sz val="10"/>
      <color rgb="FF1155CC"/>
      <name val="Inter"/>
    </font>
    <font>
      <u/>
      <sz val="10"/>
      <color theme="10"/>
      <name val="Arial"/>
      <scheme val="minor"/>
    </font>
    <font>
      <b/>
      <sz val="10"/>
      <name val="Inter"/>
    </font>
    <font>
      <u/>
      <sz val="10"/>
      <name val="Arial"/>
      <scheme val="minor"/>
    </font>
    <font>
      <u/>
      <sz val="10"/>
      <name val="Inter"/>
    </font>
    <font>
      <b/>
      <u/>
      <sz val="10"/>
      <name val="Inter"/>
    </font>
    <font>
      <sz val="10"/>
      <name val="Arial"/>
      <scheme val="minor"/>
    </font>
    <font>
      <sz val="10"/>
      <name val="Inter"/>
    </font>
    <font>
      <b/>
      <sz val="10"/>
      <color theme="0"/>
      <name val="Inter"/>
    </font>
    <font>
      <u/>
      <sz val="10"/>
      <name val="Arial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4FE0EB"/>
        <bgColor rgb="FF4FE0EB"/>
      </patternFill>
    </fill>
    <fill>
      <patternFill patternType="solid">
        <fgColor theme="8"/>
        <bgColor theme="8"/>
      </patternFill>
    </fill>
    <fill>
      <patternFill patternType="solid">
        <fgColor rgb="FF0B5394"/>
        <bgColor rgb="FF0B5394"/>
      </patternFill>
    </fill>
    <fill>
      <patternFill patternType="solid">
        <fgColor rgb="FF3D85C6"/>
        <bgColor rgb="FF3D85C6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38761D"/>
        <bgColor rgb="FF38761D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0D5295"/>
        <bgColor rgb="FF0D5295"/>
      </patternFill>
    </fill>
    <fill>
      <patternFill patternType="solid">
        <fgColor rgb="FFFF6D01"/>
        <bgColor rgb="FFFF6D01"/>
      </patternFill>
    </fill>
    <fill>
      <patternFill patternType="solid">
        <fgColor rgb="FFCC0000"/>
        <bgColor rgb="FFCC0000"/>
      </patternFill>
    </fill>
    <fill>
      <patternFill patternType="solid">
        <fgColor rgb="FF749AC7"/>
        <bgColor rgb="FF749AC7"/>
      </patternFill>
    </fill>
    <fill>
      <patternFill patternType="solid">
        <fgColor rgb="FF4AB41B"/>
        <bgColor rgb="FF4AB41B"/>
      </patternFill>
    </fill>
    <fill>
      <patternFill patternType="solid">
        <fgColor rgb="FF674EA7"/>
        <bgColor rgb="FF674EA7"/>
      </patternFill>
    </fill>
    <fill>
      <patternFill patternType="solid">
        <fgColor rgb="FF6AA84F"/>
        <bgColor rgb="FF6AA84F"/>
      </patternFill>
    </fill>
    <fill>
      <patternFill patternType="solid">
        <fgColor rgb="FF8E7CC3"/>
        <bgColor rgb="FF8E7CC3"/>
      </patternFill>
    </fill>
    <fill>
      <patternFill patternType="solid">
        <fgColor rgb="FF002C51"/>
        <bgColor rgb="FF002C51"/>
      </patternFill>
    </fill>
    <fill>
      <patternFill patternType="solid">
        <fgColor rgb="FF321B0F"/>
        <bgColor rgb="FF321B0F"/>
      </patternFill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</borders>
  <cellStyleXfs count="2">
    <xf numFmtId="0" fontId="0" fillId="0" borderId="0"/>
    <xf numFmtId="0" fontId="32" fillId="0" borderId="0" applyNumberFormat="0" applyFill="0" applyBorder="0" applyAlignment="0" applyProtection="0"/>
  </cellStyleXfs>
  <cellXfs count="116">
    <xf numFmtId="0" fontId="0" fillId="0" borderId="0" xfId="0"/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4" borderId="0" xfId="0" applyFont="1" applyFill="1" applyAlignment="1">
      <alignment horizontal="right" vertical="center"/>
    </xf>
    <xf numFmtId="0" fontId="1" fillId="4" borderId="0" xfId="0" applyFont="1" applyFill="1" applyAlignment="1">
      <alignment horizontal="center" vertical="center"/>
    </xf>
    <xf numFmtId="0" fontId="2" fillId="0" borderId="0" xfId="0" applyFont="1" applyAlignment="1">
      <alignment horizontal="right"/>
    </xf>
    <xf numFmtId="0" fontId="2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2" fillId="6" borderId="0" xfId="0" applyFont="1" applyFill="1" applyAlignment="1">
      <alignment horizontal="right"/>
    </xf>
    <xf numFmtId="0" fontId="3" fillId="0" borderId="0" xfId="0" applyFont="1" applyAlignment="1">
      <alignment horizontal="center" vertical="center"/>
    </xf>
    <xf numFmtId="0" fontId="2" fillId="7" borderId="0" xfId="0" applyFont="1" applyFill="1" applyAlignment="1">
      <alignment horizontal="right"/>
    </xf>
    <xf numFmtId="0" fontId="2" fillId="8" borderId="0" xfId="0" applyFont="1" applyFill="1" applyAlignment="1">
      <alignment horizontal="right"/>
    </xf>
    <xf numFmtId="0" fontId="2" fillId="0" borderId="0" xfId="0" applyFont="1" applyAlignment="1">
      <alignment horizontal="left"/>
    </xf>
    <xf numFmtId="0" fontId="10" fillId="0" borderId="0" xfId="0" applyFont="1"/>
    <xf numFmtId="0" fontId="7" fillId="0" borderId="0" xfId="0" applyFont="1"/>
    <xf numFmtId="0" fontId="11" fillId="0" borderId="0" xfId="0" applyFont="1" applyAlignment="1">
      <alignment vertical="center"/>
    </xf>
    <xf numFmtId="0" fontId="12" fillId="0" borderId="0" xfId="0" applyFont="1"/>
    <xf numFmtId="0" fontId="1" fillId="10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4" xfId="0" applyFont="1" applyFill="1" applyBorder="1" applyAlignment="1">
      <alignment horizontal="center"/>
    </xf>
    <xf numFmtId="9" fontId="2" fillId="0" borderId="4" xfId="0" applyNumberFormat="1" applyFont="1" applyBorder="1" applyAlignment="1">
      <alignment horizontal="center"/>
    </xf>
    <xf numFmtId="0" fontId="10" fillId="0" borderId="4" xfId="0" applyFont="1" applyBorder="1" applyAlignment="1">
      <alignment horizontal="right"/>
    </xf>
    <xf numFmtId="1" fontId="2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164" fontId="15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4" xfId="0" applyFont="1" applyBorder="1" applyAlignment="1">
      <alignment horizontal="center"/>
    </xf>
    <xf numFmtId="1" fontId="16" fillId="0" borderId="0" xfId="0" applyNumberFormat="1" applyFont="1" applyAlignment="1">
      <alignment horizontal="center" vertical="center"/>
    </xf>
    <xf numFmtId="0" fontId="17" fillId="0" borderId="0" xfId="0" applyFont="1"/>
    <xf numFmtId="1" fontId="14" fillId="0" borderId="0" xfId="0" applyNumberFormat="1" applyFont="1"/>
    <xf numFmtId="0" fontId="1" fillId="0" borderId="0" xfId="0" applyFont="1"/>
    <xf numFmtId="0" fontId="1" fillId="13" borderId="7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0" fillId="0" borderId="0" xfId="0" applyFont="1"/>
    <xf numFmtId="0" fontId="14" fillId="4" borderId="0" xfId="0" applyFont="1" applyFill="1"/>
    <xf numFmtId="0" fontId="1" fillId="4" borderId="0" xfId="0" applyFont="1" applyFill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0" fontId="20" fillId="4" borderId="0" xfId="0" applyFont="1" applyFill="1"/>
    <xf numFmtId="0" fontId="22" fillId="0" borderId="0" xfId="0" applyFont="1"/>
    <xf numFmtId="20" fontId="20" fillId="0" borderId="0" xfId="0" applyNumberFormat="1" applyFont="1"/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165" fontId="24" fillId="0" borderId="0" xfId="0" applyNumberFormat="1" applyFont="1" applyAlignment="1">
      <alignment horizontal="center"/>
    </xf>
    <xf numFmtId="0" fontId="25" fillId="0" borderId="0" xfId="0" applyFont="1"/>
    <xf numFmtId="0" fontId="4" fillId="0" borderId="0" xfId="0" applyFont="1"/>
    <xf numFmtId="0" fontId="27" fillId="0" borderId="0" xfId="0" applyFont="1" applyAlignment="1">
      <alignment vertical="center"/>
    </xf>
    <xf numFmtId="0" fontId="2" fillId="21" borderId="0" xfId="0" applyFont="1" applyFill="1"/>
    <xf numFmtId="20" fontId="2" fillId="0" borderId="0" xfId="0" applyNumberFormat="1" applyFont="1" applyAlignment="1">
      <alignment horizontal="left"/>
    </xf>
    <xf numFmtId="0" fontId="24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3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right"/>
    </xf>
    <xf numFmtId="0" fontId="13" fillId="0" borderId="2" xfId="0" applyFont="1" applyBorder="1"/>
    <xf numFmtId="0" fontId="13" fillId="0" borderId="3" xfId="0" applyFont="1" applyBorder="1"/>
    <xf numFmtId="1" fontId="16" fillId="0" borderId="5" xfId="0" applyNumberFormat="1" applyFont="1" applyBorder="1" applyAlignment="1">
      <alignment horizontal="center" vertical="center"/>
    </xf>
    <xf numFmtId="0" fontId="13" fillId="0" borderId="6" xfId="0" applyFont="1" applyBorder="1"/>
    <xf numFmtId="0" fontId="1" fillId="10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2" fillId="9" borderId="0" xfId="0" applyFont="1" applyFill="1" applyAlignment="1">
      <alignment horizontal="right" vertical="center"/>
    </xf>
    <xf numFmtId="0" fontId="1" fillId="17" borderId="0" xfId="0" applyFont="1" applyFill="1" applyAlignment="1">
      <alignment horizontal="center" vertical="center"/>
    </xf>
    <xf numFmtId="0" fontId="1" fillId="18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/>
    </xf>
    <xf numFmtId="10" fontId="18" fillId="0" borderId="11" xfId="0" applyNumberFormat="1" applyFont="1" applyBorder="1" applyAlignment="1">
      <alignment horizontal="center" vertical="center"/>
    </xf>
    <xf numFmtId="0" fontId="13" fillId="0" borderId="12" xfId="0" applyFont="1" applyBorder="1"/>
    <xf numFmtId="0" fontId="13" fillId="0" borderId="14" xfId="0" applyFont="1" applyBorder="1"/>
    <xf numFmtId="0" fontId="13" fillId="0" borderId="15" xfId="0" applyFont="1" applyBorder="1"/>
    <xf numFmtId="3" fontId="18" fillId="0" borderId="11" xfId="0" applyNumberFormat="1" applyFont="1" applyBorder="1" applyAlignment="1">
      <alignment horizontal="center" vertical="center"/>
    </xf>
    <xf numFmtId="0" fontId="1" fillId="13" borderId="8" xfId="0" applyFont="1" applyFill="1" applyBorder="1" applyAlignment="1">
      <alignment horizontal="center"/>
    </xf>
    <xf numFmtId="0" fontId="13" fillId="0" borderId="9" xfId="0" applyFont="1" applyBorder="1"/>
    <xf numFmtId="1" fontId="18" fillId="0" borderId="10" xfId="0" applyNumberFormat="1" applyFont="1" applyBorder="1" applyAlignment="1">
      <alignment horizontal="center" vertical="center"/>
    </xf>
    <xf numFmtId="0" fontId="13" fillId="0" borderId="13" xfId="0" applyFont="1" applyBorder="1"/>
    <xf numFmtId="0" fontId="18" fillId="0" borderId="10" xfId="0" applyFont="1" applyBorder="1" applyAlignment="1">
      <alignment horizontal="center" vertical="center"/>
    </xf>
    <xf numFmtId="3" fontId="18" fillId="0" borderId="10" xfId="0" applyNumberFormat="1" applyFont="1" applyBorder="1" applyAlignment="1">
      <alignment horizontal="center" vertical="center"/>
    </xf>
    <xf numFmtId="0" fontId="2" fillId="9" borderId="0" xfId="0" applyFont="1" applyFill="1" applyAlignment="1">
      <alignment horizontal="left"/>
    </xf>
    <xf numFmtId="0" fontId="19" fillId="14" borderId="0" xfId="0" applyFont="1" applyFill="1" applyAlignment="1">
      <alignment horizontal="center" vertical="center"/>
    </xf>
    <xf numFmtId="0" fontId="1" fillId="15" borderId="0" xfId="0" applyFont="1" applyFill="1" applyAlignment="1">
      <alignment horizontal="center"/>
    </xf>
    <xf numFmtId="0" fontId="1" fillId="16" borderId="0" xfId="0" applyFont="1" applyFill="1" applyAlignment="1">
      <alignment horizontal="center"/>
    </xf>
    <xf numFmtId="0" fontId="23" fillId="19" borderId="0" xfId="0" applyFont="1" applyFill="1" applyAlignment="1">
      <alignment horizontal="center" vertical="center"/>
    </xf>
    <xf numFmtId="0" fontId="26" fillId="20" borderId="0" xfId="0" applyFont="1" applyFill="1" applyAlignment="1">
      <alignment horizontal="center" vertical="center"/>
    </xf>
    <xf numFmtId="0" fontId="32" fillId="0" borderId="0" xfId="1"/>
    <xf numFmtId="0" fontId="19" fillId="19" borderId="0" xfId="0" applyFont="1" applyFill="1" applyAlignment="1">
      <alignment horizontal="center" vertical="center"/>
    </xf>
    <xf numFmtId="0" fontId="34" fillId="0" borderId="0" xfId="1" applyFont="1"/>
    <xf numFmtId="0" fontId="35" fillId="0" borderId="0" xfId="0" applyFont="1"/>
    <xf numFmtId="0" fontId="36" fillId="0" borderId="0" xfId="0" applyFont="1"/>
    <xf numFmtId="0" fontId="33" fillId="0" borderId="0" xfId="0" applyFont="1"/>
    <xf numFmtId="0" fontId="37" fillId="0" borderId="0" xfId="0" applyFont="1"/>
    <xf numFmtId="0" fontId="38" fillId="0" borderId="0" xfId="0" applyFont="1"/>
    <xf numFmtId="0" fontId="33" fillId="9" borderId="4" xfId="0" applyFont="1" applyFill="1" applyBorder="1" applyAlignment="1">
      <alignment horizontal="right"/>
    </xf>
    <xf numFmtId="1" fontId="38" fillId="0" borderId="0" xfId="0" applyNumberFormat="1" applyFont="1"/>
    <xf numFmtId="0" fontId="39" fillId="4" borderId="0" xfId="0" applyFont="1" applyFill="1" applyAlignment="1">
      <alignment horizontal="center" vertical="center"/>
    </xf>
    <xf numFmtId="0" fontId="40" fillId="0" borderId="0" xfId="1" applyFont="1"/>
    <xf numFmtId="0" fontId="19" fillId="20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</xdr:colOff>
      <xdr:row>2</xdr:row>
      <xdr:rowOff>66675</xdr:rowOff>
    </xdr:from>
    <xdr:ext cx="4695825" cy="13049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</xdr:colOff>
      <xdr:row>2</xdr:row>
      <xdr:rowOff>66675</xdr:rowOff>
    </xdr:from>
    <xdr:ext cx="4695825" cy="13049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search.jobs.barclays/job/new-york/banking-analyst-internship-program-2025-new-york-city/13015/60825860224" TargetMode="External"/><Relationship Id="rId21" Type="http://schemas.openxmlformats.org/officeDocument/2006/relationships/hyperlink" Target="https://wd1.myworkdaysite.com/en-US/recruiting/baird/Careers/job/Equity-Capital-Markets-Shadow-Day_R2023868-1" TargetMode="External"/><Relationship Id="rId42" Type="http://schemas.openxmlformats.org/officeDocument/2006/relationships/hyperlink" Target="https://pwpcareers.tal.net/vx/lang-en-GB/appcentre-1/candidate/postings/610" TargetMode="External"/><Relationship Id="rId63" Type="http://schemas.openxmlformats.org/officeDocument/2006/relationships/hyperlink" Target="https://blackstone.wd1.myworkdayjobs.com/en-US/BX_External_Site/job/XMLNAME-2025-Blackstone-BAAM-BPS-Summer-Analyst_30272" TargetMode="External"/><Relationship Id="rId84" Type="http://schemas.openxmlformats.org/officeDocument/2006/relationships/hyperlink" Target="https://www.bglco.com/careers/view-open-positions/" TargetMode="External"/><Relationship Id="rId138" Type="http://schemas.openxmlformats.org/officeDocument/2006/relationships/hyperlink" Target="https://cascadiacapital.applytojob.com/apply/VxOaYFslL3/Summer-Analyst-2025" TargetMode="External"/><Relationship Id="rId159" Type="http://schemas.openxmlformats.org/officeDocument/2006/relationships/hyperlink" Target="https://www.linkedin.com/jobs/view/2025-investment-banking-summer-analyst-at-northborne-partners-3836776926/" TargetMode="External"/><Relationship Id="rId107" Type="http://schemas.openxmlformats.org/officeDocument/2006/relationships/hyperlink" Target="https://bmo.wd3.myworkdayjobs.com/en-US/Privileged/job/Investment-Banking-Summer-2025-Analyst---Indiana---New-York_R230021832" TargetMode="External"/><Relationship Id="rId11" Type="http://schemas.openxmlformats.org/officeDocument/2006/relationships/hyperlink" Target="https://careers.sig.com/job/7484/Sophomore-Discovery-Day-Growth-Equity-2024-Expression-of-Interest" TargetMode="External"/><Relationship Id="rId32" Type="http://schemas.openxmlformats.org/officeDocument/2006/relationships/hyperlink" Target="https://jefferies.tal.net/vx/lang-en-GB/mobile-0/appcentre-1/brand-4/xf-3ae1618af8ac/candidate/so/pm/1/pl/2/opp/1027-Class-of-2026-Investment-Banking-Diversity-Symposium/en-GB" TargetMode="External"/><Relationship Id="rId53" Type="http://schemas.openxmlformats.org/officeDocument/2006/relationships/hyperlink" Target="https://mufgub.wd3.myworkdayjobs.com/MUFG-Careers/job/New-York-NY/XMLNAME-2025-Corporate--Investment-Banking-and-Markets--CIBM--Summer-Analyst-Program_10063093-WD-1?source=RS_LinkedIn" TargetMode="External"/><Relationship Id="rId74" Type="http://schemas.openxmlformats.org/officeDocument/2006/relationships/hyperlink" Target="https://www.globalatlantic.com/careers/internships/5594014" TargetMode="External"/><Relationship Id="rId128" Type="http://schemas.openxmlformats.org/officeDocument/2006/relationships/hyperlink" Target="https://greenhill.wd5.myworkdayjobs.com/en-US/SearchJobs/job/XMLNAME-2025-Investment-Banking-Summer-Analyst---M-A---New-York_GHL382" TargetMode="External"/><Relationship Id="rId149" Type="http://schemas.openxmlformats.org/officeDocument/2006/relationships/hyperlink" Target="https://www.goldmansachs.com/careers/students/programs/americas/2025-summer-analyst-program.html" TargetMode="External"/><Relationship Id="rId5" Type="http://schemas.openxmlformats.org/officeDocument/2006/relationships/hyperlink" Target="https://jpmc.recsolu.com/app/collect/event/cUeOYXTNcIvZRQ4FhIuVHA" TargetMode="External"/><Relationship Id="rId95" Type="http://schemas.openxmlformats.org/officeDocument/2006/relationships/hyperlink" Target="https://trkr.app/vacancy/spectrum-equity-summer-analyst/" TargetMode="External"/><Relationship Id="rId160" Type="http://schemas.openxmlformats.org/officeDocument/2006/relationships/hyperlink" Target="https://careers.rockco.com/careers-home/jobs/3109?lang=en-us" TargetMode="External"/><Relationship Id="rId22" Type="http://schemas.openxmlformats.org/officeDocument/2006/relationships/hyperlink" Target="https://sixthstreet.com/current-opportunities/?gh_jid=5750539003" TargetMode="External"/><Relationship Id="rId43" Type="http://schemas.openxmlformats.org/officeDocument/2006/relationships/hyperlink" Target="https://fellowships.deshaw.com/" TargetMode="External"/><Relationship Id="rId64" Type="http://schemas.openxmlformats.org/officeDocument/2006/relationships/hyperlink" Target="https://blackstone.wd1.myworkdayjobs.com/en-US/BX_External_Site/job/XMLNAME-2025-Blackstone-Private-Equity-Strategies--Acquisitions-Summer-Analyst_30329" TargetMode="External"/><Relationship Id="rId118" Type="http://schemas.openxmlformats.org/officeDocument/2006/relationships/hyperlink" Target="https://boards.greenhouse.io/bracebridgecapital/jobs/4336156005" TargetMode="External"/><Relationship Id="rId139" Type="http://schemas.openxmlformats.org/officeDocument/2006/relationships/hyperlink" Target="https://careers.thinkbrg.com/jobs/13925827-2025-summer-associate-intern-corporate-finance-turnaround-and-restructuring" TargetMode="External"/><Relationship Id="rId80" Type="http://schemas.openxmlformats.org/officeDocument/2006/relationships/hyperlink" Target="https://raymondjames.taleo.net/careersection/rj_extcareersection052308/jobdetail.ftl?job=2303516&amp;tz=GMT-08%3A00&amp;tzname=America%2FLos_Angeles" TargetMode="External"/><Relationship Id="rId85" Type="http://schemas.openxmlformats.org/officeDocument/2006/relationships/hyperlink" Target="https://bit.ly/3tIYo5S" TargetMode="External"/><Relationship Id="rId150" Type="http://schemas.openxmlformats.org/officeDocument/2006/relationships/hyperlink" Target="https://citi.wd5.myworkdayjobs.com/en-US/2/job/NAM-Investment-Banking--Summer-Analyst---New-York--North-America---2025-_24728207" TargetMode="External"/><Relationship Id="rId155" Type="http://schemas.openxmlformats.org/officeDocument/2006/relationships/hyperlink" Target="https://apply.talemetry.com/application/80ff2177-8b5c-452f-a396-59951cd79b23" TargetMode="External"/><Relationship Id="rId12" Type="http://schemas.openxmlformats.org/officeDocument/2006/relationships/hyperlink" Target="https://dayinthelife.sig.com/early-talent/" TargetMode="External"/><Relationship Id="rId17" Type="http://schemas.openxmlformats.org/officeDocument/2006/relationships/hyperlink" Target="https://www.linkedin.com/posts/peakspan-capital_growthequity-venturecapital-careerdevelopment-activity-7115735087907803136-9nRj?utm_source=share&amp;utm_medium=member_desktop" TargetMode="External"/><Relationship Id="rId33" Type="http://schemas.openxmlformats.org/officeDocument/2006/relationships/hyperlink" Target="https://pwpcareers.tal.net/vx/lang-en-GB/mobile-0/appcentre-1/brand-4/xf-b231145ed321/candidate/so/pm/1/pl/1/opp/787-U-S-Perella-Weinberg-Advisory-Prep-Program/en-GB" TargetMode="External"/><Relationship Id="rId38" Type="http://schemas.openxmlformats.org/officeDocument/2006/relationships/hyperlink" Target="https://leerink.wd5.myworkdayjobs.com/en-US/leerinkpartners/job/XMLNAME-2025-Investment-Banking-Summer-Analyst-Program_R00394" TargetMode="External"/><Relationship Id="rId59" Type="http://schemas.openxmlformats.org/officeDocument/2006/relationships/hyperlink" Target="https://aresmgmt.wd1.myworkdayjobs.com/en-US/External/job/XMLNAME-2024-Summer-Analyst--Secondaries_R4809" TargetMode="External"/><Relationship Id="rId103" Type="http://schemas.openxmlformats.org/officeDocument/2006/relationships/hyperlink" Target="https://eastdilsecured.bamboohr.com/careers/40" TargetMode="External"/><Relationship Id="rId108" Type="http://schemas.openxmlformats.org/officeDocument/2006/relationships/hyperlink" Target="https://bankcampuscareers.tal.net/vx/lang-en-GB/mobile-0/brand-4/user-3078352/xf-2ac5ddb40ab1/candidate/so/pm/1/pl/1/opp/11228-Global-Investment-Banking-Summer-Analyst-Program-2025/en-GB" TargetMode="External"/><Relationship Id="rId124" Type="http://schemas.openxmlformats.org/officeDocument/2006/relationships/hyperlink" Target="https://www.generalatlantic.com/current-job-openings/?gh_jid=5067772004" TargetMode="External"/><Relationship Id="rId129" Type="http://schemas.openxmlformats.org/officeDocument/2006/relationships/hyperlink" Target="https://globalus232.dayforcehcm.com/CandidatePortal/en-US/waterfall/Posting/View/59" TargetMode="External"/><Relationship Id="rId54" Type="http://schemas.openxmlformats.org/officeDocument/2006/relationships/hyperlink" Target="https://www.guggenheimsecurities.com/getattachment/feab567c-1349-4c9d-9fb7-db24dee6b16a/FOCUS-2024-Flyer.pdf" TargetMode="External"/><Relationship Id="rId70" Type="http://schemas.openxmlformats.org/officeDocument/2006/relationships/hyperlink" Target="https://wd1.myworkdaysite.com/en-US/recruiting/baird/Careers/job/Internship---Investment-Banking-Analyst---Restructuring---Summer-2025--NYC-_R2024136" TargetMode="External"/><Relationship Id="rId75" Type="http://schemas.openxmlformats.org/officeDocument/2006/relationships/hyperlink" Target="https://www.lincolninternational.com/greenhouse/?gh_jid=5606806" TargetMode="External"/><Relationship Id="rId91" Type="http://schemas.openxmlformats.org/officeDocument/2006/relationships/hyperlink" Target="https://boards.greenhouse.io/audaxgroup/jobs/4360586005" TargetMode="External"/><Relationship Id="rId96" Type="http://schemas.openxmlformats.org/officeDocument/2006/relationships/hyperlink" Target="https://boards.greenhouse.io/point72/jobs/7053719002?gh_src=d59bdbd82us" TargetMode="External"/><Relationship Id="rId140" Type="http://schemas.openxmlformats.org/officeDocument/2006/relationships/hyperlink" Target="https://englandco.com/career/" TargetMode="External"/><Relationship Id="rId145" Type="http://schemas.openxmlformats.org/officeDocument/2006/relationships/hyperlink" Target="https://docs.google.com/forms/d/e/1FAIpQLSdvPYjLT-9y5K9ro5aBmN75pfaCKLulqPtS9LsTqLw67dNoww/viewform" TargetMode="External"/><Relationship Id="rId1" Type="http://schemas.openxmlformats.org/officeDocument/2006/relationships/hyperlink" Target="https://jpmc.recsolu.com/app/collect/form/fDjoIFCfrd994YFviUbcvw?token=kl3Kg1A4euk8r6OgHGhNyA" TargetMode="External"/><Relationship Id="rId6" Type="http://schemas.openxmlformats.org/officeDocument/2006/relationships/hyperlink" Target="https://blackstone.wd1.myworkdayjobs.com/en-US/Blackstone_Campus_Careers/job/XMLNAME-2023-Blackstone-US-Diverse-Leaders-Program_29092" TargetMode="External"/><Relationship Id="rId23" Type="http://schemas.openxmlformats.org/officeDocument/2006/relationships/hyperlink" Target="https://moelis-careers.tal.net/vx/lang-en-GB/mobile-0/appcentre-1/brand-4/user-24298/xf-bf1acbfe74b2/wid-2/candidate/so/pm/1/pl/2/opp/83-2024-Leadership-Diversity-Program/en-GB" TargetMode="External"/><Relationship Id="rId28" Type="http://schemas.openxmlformats.org/officeDocument/2006/relationships/hyperlink" Target="https://williamblair.avature.net/careers/JobDetail/Fast-Track-to-Investment-Banking-at-William-Blair-2024-Program/5606/" TargetMode="External"/><Relationship Id="rId49" Type="http://schemas.openxmlformats.org/officeDocument/2006/relationships/hyperlink" Target="https://jpmc.fa.oraclecloud.com/hcmUI/CandidateExperience/en/sites/CX_1001/job/210471276" TargetMode="External"/><Relationship Id="rId114" Type="http://schemas.openxmlformats.org/officeDocument/2006/relationships/hyperlink" Target="https://nb.wd1.myworkdayjobs.com/en-US/NBCareers/job/Private-Markets---Discovery-2024-Internship-Program-for-Sophomores_R0009058" TargetMode="External"/><Relationship Id="rId119" Type="http://schemas.openxmlformats.org/officeDocument/2006/relationships/hyperlink" Target="https://capgroup.wd1.myworkdayjobs.com/en-US/capitalgroupcareers/job/CAP-Summer-Associate---US--2025-_JR2480" TargetMode="External"/><Relationship Id="rId44" Type="http://schemas.openxmlformats.org/officeDocument/2006/relationships/hyperlink" Target="https://www.bridgewater.com/immersionprogram" TargetMode="External"/><Relationship Id="rId60" Type="http://schemas.openxmlformats.org/officeDocument/2006/relationships/hyperlink" Target="https://jobs.lever.co/jmi/efa3bcb4-b1d1-47e4-8e86-bfaf2eb928e1" TargetMode="External"/><Relationship Id="rId65" Type="http://schemas.openxmlformats.org/officeDocument/2006/relationships/hyperlink" Target="https://lazard-careers.tal.net/vx/lang-en-GB/mobile-0/appcentre-1/brand-4/user-433262/xf-7e5912db9168/candidate/so/pm/1/pl/2/opp/1673-2025-Financial-Advisory-Summer-Analyst-Program-New-York-M-A-Restructuring-Generalist/en-GB" TargetMode="External"/><Relationship Id="rId81" Type="http://schemas.openxmlformats.org/officeDocument/2006/relationships/hyperlink" Target="https://careers.truist.com/us/en/job/R0083323/2025-Truist-Securities-Investment-Banking-Summer-Analyst-Program" TargetMode="External"/><Relationship Id="rId86" Type="http://schemas.openxmlformats.org/officeDocument/2006/relationships/hyperlink" Target="https://boards.greenhouse.io/orioncampus/jobs/4323323006" TargetMode="External"/><Relationship Id="rId130" Type="http://schemas.openxmlformats.org/officeDocument/2006/relationships/hyperlink" Target="https://jobs.rbc.com/ca/en/job/R-0000078106/2024-Capital-Markets-Culture-Discovery-Day" TargetMode="External"/><Relationship Id="rId135" Type="http://schemas.openxmlformats.org/officeDocument/2006/relationships/hyperlink" Target="https://smbc.recsolu.com/external/requisitions/ckHifBCWUCDWaJnqHzQaOg" TargetMode="External"/><Relationship Id="rId151" Type="http://schemas.openxmlformats.org/officeDocument/2006/relationships/hyperlink" Target="https://boards.greenhouse.io/alpineinternships/jobs/7255700002" TargetMode="External"/><Relationship Id="rId156" Type="http://schemas.openxmlformats.org/officeDocument/2006/relationships/hyperlink" Target="https://airtable.com/appY7zMBm8Mn9Oo3f/shrMRVNqeKrsD3WA5" TargetMode="External"/><Relationship Id="rId13" Type="http://schemas.openxmlformats.org/officeDocument/2006/relationships/hyperlink" Target="https://wd1.myworkdaysite.com/en-US/recruiting/baird/Careers/job/Internship---Institutional-Equities-Sales---Trading--Summer-2024---1-Week-Program----New-York-City_R2023969-1" TargetMode="External"/><Relationship Id="rId18" Type="http://schemas.openxmlformats.org/officeDocument/2006/relationships/hyperlink" Target="https://www.ucop.edu/investment-office/" TargetMode="External"/><Relationship Id="rId39" Type="http://schemas.openxmlformats.org/officeDocument/2006/relationships/hyperlink" Target="https://llrpartners.clearcompany.com/careers/jobs/d11dd923-4a81-d6d6-c7e7-f629f917c645/apply?source=2853775-CS-41362" TargetMode="External"/><Relationship Id="rId109" Type="http://schemas.openxmlformats.org/officeDocument/2006/relationships/hyperlink" Target="https://jefferies.tal.net/vx/lang-en-GB/mobile-0/appcentre-1/brand-4/xf-016c915b0a67/candidate/so/pm/1/pl/2/opp/1073-2025-Investment-Banking-Summer-Analyst-Program-New-York-Generalist/en-GB" TargetMode="External"/><Relationship Id="rId34" Type="http://schemas.openxmlformats.org/officeDocument/2006/relationships/hyperlink" Target="https://careers-guggenheimpartners.icims.com/jobs/2781/2025-guggenheim-securities-investment-banking-summer-analyst-%e2%80%93-new-york-generalist-program/job" TargetMode="External"/><Relationship Id="rId50" Type="http://schemas.openxmlformats.org/officeDocument/2006/relationships/hyperlink" Target="https://krb-sjobs.brassring.com/TGnewUI/Search/home/HomeWithPreLoad?PageType=JobDetails&amp;partnerid=25008&amp;siteid=5029&amp;Areq=284261BR&amp;codes=GBInsight" TargetMode="External"/><Relationship Id="rId55" Type="http://schemas.openxmlformats.org/officeDocument/2006/relationships/hyperlink" Target="https://www.kkr.com/careers/career-opportunities?gh_jid=4933932004" TargetMode="External"/><Relationship Id="rId76" Type="http://schemas.openxmlformats.org/officeDocument/2006/relationships/hyperlink" Target="https://williamblair.avature.net/careers/JobDetail/Investment-Banking-Summer-Analyst-Financial-Sponsors-Group-Summer-2025-Program/5624" TargetMode="External"/><Relationship Id="rId97" Type="http://schemas.openxmlformats.org/officeDocument/2006/relationships/hyperlink" Target="https://recruiting2.ultipro.com/STI1000/JobBoard/7131f55d-3a00-3cd5-f318-20630d8f7bee/OpportunityDetail?opportunityId=8b02ce9c-3d89-4035-a20b-eeb844b38ad4" TargetMode="External"/><Relationship Id="rId104" Type="http://schemas.openxmlformats.org/officeDocument/2006/relationships/hyperlink" Target="https://recruitment.macquarie.com/en_US/careers/FeaturedJobDetail?jobId=7629" TargetMode="External"/><Relationship Id="rId120" Type="http://schemas.openxmlformats.org/officeDocument/2006/relationships/hyperlink" Target="https://www.deshaw.com/careers/d-e-shaw-investment-management-desim-intern-new-york-summer-2025-4989" TargetMode="External"/><Relationship Id="rId125" Type="http://schemas.openxmlformats.org/officeDocument/2006/relationships/hyperlink" Target="https://aresmgmt.wd1.myworkdayjobs.com/en-US/External/job/XMLNAME-2025-Summer-Analyst--Investor-Relations_R4916" TargetMode="External"/><Relationship Id="rId141" Type="http://schemas.openxmlformats.org/officeDocument/2006/relationships/hyperlink" Target="https://boards.greenhouse.io/bridgewatercampusrecruiting/jobs/7050578002" TargetMode="External"/><Relationship Id="rId146" Type="http://schemas.openxmlformats.org/officeDocument/2006/relationships/hyperlink" Target="https://www.vistaequitypartners.com/careers/open-positions/job-posting/?id=2650" TargetMode="External"/><Relationship Id="rId7" Type="http://schemas.openxmlformats.org/officeDocument/2006/relationships/hyperlink" Target="https://rbc.wd3.myworkdayjobs.com/en-US/RBCEARLYTALENT1/job/XMLNAME-2025-Capital-Markets--Global-Investment-Banking-Summer-Analyst_R-0000067336" TargetMode="External"/><Relationship Id="rId71" Type="http://schemas.openxmlformats.org/officeDocument/2006/relationships/hyperlink" Target="https://nb.wd1.myworkdayjobs.com/en-US/NBCareers/job/Summer-Research-Analyst---Non-Investment-Grade--Summer-2025-_R0008885" TargetMode="External"/><Relationship Id="rId92" Type="http://schemas.openxmlformats.org/officeDocument/2006/relationships/hyperlink" Target="https://www.centerviewpartners.com/careers.aspx" TargetMode="External"/><Relationship Id="rId2" Type="http://schemas.openxmlformats.org/officeDocument/2006/relationships/hyperlink" Target="https://www.mckinsey.com/careers/search-jobs/jobs/sophomoresummerbusinessanalyst-19389?utm_campaign=google_jobs_apply&amp;utm_source=google_jobs_apply&amp;utm_medium=organic" TargetMode="External"/><Relationship Id="rId29" Type="http://schemas.openxmlformats.org/officeDocument/2006/relationships/hyperlink" Target="https://hl.wd1.myworkdayjobs.com/en-US/Campus/job/XMLNAME-2025-Corporate-Finance-Summer-Financial-Analyst--Class-of-2026----New-York-Generalist_R1208" TargetMode="External"/><Relationship Id="rId24" Type="http://schemas.openxmlformats.org/officeDocument/2006/relationships/hyperlink" Target="https://neafellowship.com/" TargetMode="External"/><Relationship Id="rId40" Type="http://schemas.openxmlformats.org/officeDocument/2006/relationships/hyperlink" Target="https://baincapital.wd1.myworkdayjobs.com/en-US/External_Public/job/Bain-Capital-Investors-of-Tomorrow-Summit---January-2024_REQ_106895" TargetMode="External"/><Relationship Id="rId45" Type="http://schemas.openxmlformats.org/officeDocument/2006/relationships/hyperlink" Target="https://rbc.wd3.myworkdayjobs.com/en-US/RBCEARLYTALENT1/job/XMLNAME-2024-RBC-Capital-Markets-US-Pathways-Diversity-Award-Program_R-0000073237" TargetMode="External"/><Relationship Id="rId66" Type="http://schemas.openxmlformats.org/officeDocument/2006/relationships/hyperlink" Target="https://www.wellsfargojobs.com/en/jobs/r-331392/2025-summer-internship-early-careers-investment-banking-new-york/" TargetMode="External"/><Relationship Id="rId87" Type="http://schemas.openxmlformats.org/officeDocument/2006/relationships/hyperlink" Target="https://grahampartners.applicantpro.com/jobs/2954553" TargetMode="External"/><Relationship Id="rId110" Type="http://schemas.openxmlformats.org/officeDocument/2006/relationships/hyperlink" Target="https://evercore.tal.net/vx/lang-en-GB/mobile-0/channel-1/appcentre-1/brand-6/user-423875/xf-46f5c5553035/candidate/so/pm/1/pl/2/opp/2026-2025-Strategic-Advisory-Mergers-Acquisitions-Summer-Analyst-Program-New-York-Houston-Menlo-Park-Chicago-Toronto-San-Francisco/en-GB" TargetMode="External"/><Relationship Id="rId115" Type="http://schemas.openxmlformats.org/officeDocument/2006/relationships/hyperlink" Target="https://wd1.myworkdaysite.com/recruiting/fmr/FidelityCareers/job/Boston-MA/Equity-Research-Associate-Internship---Summer-2025_2086966/?source=BTG" TargetMode="External"/><Relationship Id="rId131" Type="http://schemas.openxmlformats.org/officeDocument/2006/relationships/hyperlink" Target="https://keybank.wd5.myworkdayjobs.com/en-US/External_Career_Site/job/XMLNAME-2025-KBCM-Investment-Banking-Summer-Analyst---New-York--NY_R-23534" TargetMode="External"/><Relationship Id="rId136" Type="http://schemas.openxmlformats.org/officeDocument/2006/relationships/hyperlink" Target="https://www.croft-bender.com/careers" TargetMode="External"/><Relationship Id="rId157" Type="http://schemas.openxmlformats.org/officeDocument/2006/relationships/hyperlink" Target="https://opco.clearcompany.com/careers/jobs/40f66e6f-3b5e-9488-6c8f-f2c499b4f579/apply?source=2978613-JB-1018" TargetMode="External"/><Relationship Id="rId61" Type="http://schemas.openxmlformats.org/officeDocument/2006/relationships/hyperlink" Target="https://blackstone.wd1.myworkdayjobs.com/en-US/BX_External_Site/job/XMLNAME-2025-Blackstone-Tactical-Opportunities-Summer-Analyst_30190" TargetMode="External"/><Relationship Id="rId82" Type="http://schemas.openxmlformats.org/officeDocument/2006/relationships/hyperlink" Target="https://mklein.typeform.com/MKlein2025?typeform-source=www.google.com" TargetMode="External"/><Relationship Id="rId152" Type="http://schemas.openxmlformats.org/officeDocument/2006/relationships/hyperlink" Target="https://meridianllc.bamboohr.com/careers/30" TargetMode="External"/><Relationship Id="rId19" Type="http://schemas.openxmlformats.org/officeDocument/2006/relationships/hyperlink" Target="https://nomuracampus.tal.net/vx/mobile-0/appcentre-ext/brand-4/candidate/so/pm/1/pl/2/opp/959-2024-Explore-Nomura-Freshman-Sophomore-Program/en-GB" TargetMode="External"/><Relationship Id="rId14" Type="http://schemas.openxmlformats.org/officeDocument/2006/relationships/hyperlink" Target="https://www.goldmansachs.com/careers/students/programs/americas/possibilities-summits.html" TargetMode="External"/><Relationship Id="rId30" Type="http://schemas.openxmlformats.org/officeDocument/2006/relationships/hyperlink" Target="https://unionsquareadvisors.applytojob.com/apply/XuQUeIP75e/Investment-Banking-2025-Summer-Analyst" TargetMode="External"/><Relationship Id="rId35" Type="http://schemas.openxmlformats.org/officeDocument/2006/relationships/hyperlink" Target="https://db.recsolu.com/external/requisitions/7KbTQFKxuTnR7bdFOQuUWw" TargetMode="External"/><Relationship Id="rId56" Type="http://schemas.openxmlformats.org/officeDocument/2006/relationships/hyperlink" Target="https://moelis-careers.tal.net/vx/lang-en-GB/mobile-0/appcentre-1/brand-4/user-14059/xf-5af876dcbc03/candidate/so/pm/1/pl/2/opp/109-2025-Summer-Analyst-Investment-Banking-New-York-City/en-GB" TargetMode="External"/><Relationship Id="rId77" Type="http://schemas.openxmlformats.org/officeDocument/2006/relationships/hyperlink" Target="https://boards.greenhouse.io/ducerapartnerscampus/jobs/5858281003?t=f9a046bb3us" TargetMode="External"/><Relationship Id="rId100" Type="http://schemas.openxmlformats.org/officeDocument/2006/relationships/hyperlink" Target="https://recruiting2.ultipro.com/STI1000/JobBoard/7131f55d-3a00-3cd5-f318-20630d8f7bee/OpportunityDetail?opportunityId=6e5345bf-18cf-471a-820d-57c33ba77af1" TargetMode="External"/><Relationship Id="rId105" Type="http://schemas.openxmlformats.org/officeDocument/2006/relationships/hyperlink" Target="https://silversmith.hirevue.com/signup/Gyg5n4vsyMasCDdY7rbmQk/" TargetMode="External"/><Relationship Id="rId126" Type="http://schemas.openxmlformats.org/officeDocument/2006/relationships/hyperlink" Target="https://flows.beamery.com/pimco/pimco-prep-2024" TargetMode="External"/><Relationship Id="rId147" Type="http://schemas.openxmlformats.org/officeDocument/2006/relationships/hyperlink" Target="https://www.capitalonecareers.com/job/mclean/investment-banking-summer-internship-analyst-summer-2025/31238/61850694272" TargetMode="External"/><Relationship Id="rId8" Type="http://schemas.openxmlformats.org/officeDocument/2006/relationships/hyperlink" Target="https://smrtr.io/gv59Z" TargetMode="External"/><Relationship Id="rId51" Type="http://schemas.openxmlformats.org/officeDocument/2006/relationships/hyperlink" Target="https://boards.greenhouse.io/audaxgroup/jobs/4338656005" TargetMode="External"/><Relationship Id="rId72" Type="http://schemas.openxmlformats.org/officeDocument/2006/relationships/hyperlink" Target="https://dodgeandcox.wd5.myworkdayjobs.com/en-US/Dodgecox/job/XMLNAME-2025-Investment-Associate-Internship_R0000394" TargetMode="External"/><Relationship Id="rId93" Type="http://schemas.openxmlformats.org/officeDocument/2006/relationships/hyperlink" Target="https://boards.greenhouse.io/pjtpartnersstudents/jobs/4362486005" TargetMode="External"/><Relationship Id="rId98" Type="http://schemas.openxmlformats.org/officeDocument/2006/relationships/hyperlink" Target="https://www.bellmarkpartners.com/careers/summer-intern-2024/" TargetMode="External"/><Relationship Id="rId121" Type="http://schemas.openxmlformats.org/officeDocument/2006/relationships/hyperlink" Target="https://sheaco.com/apply/?gh_jid=4357968005" TargetMode="External"/><Relationship Id="rId142" Type="http://schemas.openxmlformats.org/officeDocument/2006/relationships/hyperlink" Target="https://ucla.joinhandshake.com/stu/jobs/8699474?ref=preview-header-click&amp;search_id=9995d19f-2a15-420a-8550-a8b2a3d746ca" TargetMode="External"/><Relationship Id="rId3" Type="http://schemas.openxmlformats.org/officeDocument/2006/relationships/hyperlink" Target="https://www.kkr.com/careers-listing?gh_jid=4919012004" TargetMode="External"/><Relationship Id="rId25" Type="http://schemas.openxmlformats.org/officeDocument/2006/relationships/hyperlink" Target="https://grata.com/grata-scholars" TargetMode="External"/><Relationship Id="rId46" Type="http://schemas.openxmlformats.org/officeDocument/2006/relationships/hyperlink" Target="https://recruitment.macquarie.com/en_US/careers/JobDetail?jobId=7575" TargetMode="External"/><Relationship Id="rId67" Type="http://schemas.openxmlformats.org/officeDocument/2006/relationships/hyperlink" Target="https://williamblair.avature.net/careers/JobDetails?jobId=5626&amp;source=Handshake" TargetMode="External"/><Relationship Id="rId116" Type="http://schemas.openxmlformats.org/officeDocument/2006/relationships/hyperlink" Target="https://bnppus.tal.net/vx/lang-en-GB/mobile-0/appcentre-1/brand-7/user-86983/xf-81c7f9015ecb/candidate/so/pm/1/pl/2/opp/903-2025-Summer-Analyst-Internship-Unified-Sectors-Advisory-and-M-A/en-GB" TargetMode="External"/><Relationship Id="rId137" Type="http://schemas.openxmlformats.org/officeDocument/2006/relationships/hyperlink" Target="https://workforcenow.cloud.adp.com/mascsr/default/mdf/recruitment/recruitment.html?cid=87d7e002-d51a-49c0-99a3-1a2c4a16e03a&amp;ccId=19000101_000001&amp;jobId=95102&amp;lang=en_US&amp;source=CC2" TargetMode="External"/><Relationship Id="rId158" Type="http://schemas.openxmlformats.org/officeDocument/2006/relationships/hyperlink" Target="https://boards.greenhouse.io/aqtechnologypartners/jobs/4384300005?t=5205d5a15us" TargetMode="External"/><Relationship Id="rId20" Type="http://schemas.openxmlformats.org/officeDocument/2006/relationships/hyperlink" Target="https://www.kkr.com/careers/career-opportunities?gh_jid=4979424004" TargetMode="External"/><Relationship Id="rId41" Type="http://schemas.openxmlformats.org/officeDocument/2006/relationships/hyperlink" Target="https://jobs.lever.co/raine/39daa535-8543-4848-b132-6f2b670aa59a" TargetMode="External"/><Relationship Id="rId62" Type="http://schemas.openxmlformats.org/officeDocument/2006/relationships/hyperlink" Target="https://blackstone.wd1.myworkdayjobs.com/en-US/BX_External_Site/userHome" TargetMode="External"/><Relationship Id="rId83" Type="http://schemas.openxmlformats.org/officeDocument/2006/relationships/hyperlink" Target="https://careers.societegenerale.com/en/job-offers/2025-investment-banking-summer-analyst-program-new-york-240001EQ-en" TargetMode="External"/><Relationship Id="rId88" Type="http://schemas.openxmlformats.org/officeDocument/2006/relationships/hyperlink" Target="https://jobs.lever.co/mtspartners/94184622-03ff-46f1-ab2d-1f3d16e405e3" TargetMode="External"/><Relationship Id="rId111" Type="http://schemas.openxmlformats.org/officeDocument/2006/relationships/hyperlink" Target="https://evercore.tal.net/vx/lang-en-GB/mobile-0/channel-1/appcentre-1/brand-6/user-423875/xf-46f5c5553035/candidate/so/pm/1/pl/2/opp/2060-2025-Capital-Markets-Advisory-Private-Capital-Markets-and-Debt-Advisory-Summer-Analyst-Program-New-York/en-GB" TargetMode="External"/><Relationship Id="rId132" Type="http://schemas.openxmlformats.org/officeDocument/2006/relationships/hyperlink" Target="https://dcp.com/careers/" TargetMode="External"/><Relationship Id="rId153" Type="http://schemas.openxmlformats.org/officeDocument/2006/relationships/hyperlink" Target="https://careers.ardian.com/en-GB/jobs/3669071-secondaries-primaries-summer-2025-internship-private-equity" TargetMode="External"/><Relationship Id="rId15" Type="http://schemas.openxmlformats.org/officeDocument/2006/relationships/hyperlink" Target="https://careers.db.com/students-graduates/insight-programmes/us/develop" TargetMode="External"/><Relationship Id="rId36" Type="http://schemas.openxmlformats.org/officeDocument/2006/relationships/hyperlink" Target="https://stout.wd5.myworkdayjobs.com/en-US/Stout-Student-Careers/job/XMLNAME-2025-Investment-Banking-Summer-Analyst_r1428" TargetMode="External"/><Relationship Id="rId57" Type="http://schemas.openxmlformats.org/officeDocument/2006/relationships/hyperlink" Target="https://aresmgmt.wd1.myworkdayjobs.com/en-US/External/job/XMLNAME-2025-Summer-Analyst--Credit_R4807" TargetMode="External"/><Relationship Id="rId106" Type="http://schemas.openxmlformats.org/officeDocument/2006/relationships/hyperlink" Target="https://phh.tbe.taleo.net/phh04/ats/careers/v2/applyRequisition?org=PIPER_SANDLER&amp;cws=44&amp;rid=3665&amp;parsingId=TASKPIPER_SANDLER:1394108096:1706757828521&amp;parsingToken=ab7d9dd510e81e197528beefdc749f4f8d4938e1&amp;rid=3665&amp;emplProfileImported=true" TargetMode="External"/><Relationship Id="rId127" Type="http://schemas.openxmlformats.org/officeDocument/2006/relationships/hyperlink" Target="https://nomuracampus.tal.net/vx/lang-en-GB/mobile-0/appcentre-1/brand-4/user-596762/xf-751bcc39ff77/candidate/so/pm/1/pl/1/opp/1011" TargetMode="External"/><Relationship Id="rId10" Type="http://schemas.openxmlformats.org/officeDocument/2006/relationships/hyperlink" Target="https://careers.point72.com/CSJobDetail?jobName=2024-future-of-finance-accelerator&amp;jobCode=CPA-0011516&amp;retURL=/CSCareerSearch" TargetMode="External"/><Relationship Id="rId31" Type="http://schemas.openxmlformats.org/officeDocument/2006/relationships/hyperlink" Target="https://rothschildandco.tal.net/vx/lang-en-GB/appcentre-1/candidate/postings/265" TargetMode="External"/><Relationship Id="rId52" Type="http://schemas.openxmlformats.org/officeDocument/2006/relationships/hyperlink" Target="https://boards.greenhouse.io/atlassp/jobs/4158118007?source=LinkedIn" TargetMode="External"/><Relationship Id="rId73" Type="http://schemas.openxmlformats.org/officeDocument/2006/relationships/hyperlink" Target="https://phe.tbe.taleo.net/phe02/ats/careers/v2/viewRequisition?org=CAMBRIDGEASSOCIATES&amp;cws=47&amp;rid=10075" TargetMode="External"/><Relationship Id="rId78" Type="http://schemas.openxmlformats.org/officeDocument/2006/relationships/hyperlink" Target="https://www.riversidecompany.com/jobs/?job=6968181002" TargetMode="External"/><Relationship Id="rId94" Type="http://schemas.openxmlformats.org/officeDocument/2006/relationships/hyperlink" Target="https://www.llrpartners.com/internship-program/" TargetMode="External"/><Relationship Id="rId99" Type="http://schemas.openxmlformats.org/officeDocument/2006/relationships/hyperlink" Target="https://www.kpmguscareers.com/jobdetail/?jobId=108929" TargetMode="External"/><Relationship Id="rId101" Type="http://schemas.openxmlformats.org/officeDocument/2006/relationships/hyperlink" Target="https://recruiting.ultipro.com/DCA1000DCV/JobBoard/14d25b5f-98b9-46da-846e-1447f13e2cda/OpportunityDetail?opportunityId=877852b0-2f50-4786-9703-1427782fd24c" TargetMode="External"/><Relationship Id="rId122" Type="http://schemas.openxmlformats.org/officeDocument/2006/relationships/hyperlink" Target="https://boards.greenhouse.io/evergreenservicesgroup/jobs/4360581005" TargetMode="External"/><Relationship Id="rId143" Type="http://schemas.openxmlformats.org/officeDocument/2006/relationships/hyperlink" Target="https://www.deshaw.com/careers/generalist-2643" TargetMode="External"/><Relationship Id="rId148" Type="http://schemas.openxmlformats.org/officeDocument/2006/relationships/hyperlink" Target="https://blackstone.wd1.myworkdayjobs.com/en-US/Blackstone_Campus_Careers/job/XMLNAME-2025-Blackstone-Real-Estate-Acquisition-Summer-Analyst--Hong-Kong--Shanghai_30650" TargetMode="External"/><Relationship Id="rId4" Type="http://schemas.openxmlformats.org/officeDocument/2006/relationships/hyperlink" Target="https://recalcacademy.com/finance-accelerator/" TargetMode="External"/><Relationship Id="rId9" Type="http://schemas.openxmlformats.org/officeDocument/2006/relationships/hyperlink" Target="https://smrtr.io/gv5cb" TargetMode="External"/><Relationship Id="rId26" Type="http://schemas.openxmlformats.org/officeDocument/2006/relationships/hyperlink" Target="https://www.citadel.com/careers/students/discover-citadel/" TargetMode="External"/><Relationship Id="rId47" Type="http://schemas.openxmlformats.org/officeDocument/2006/relationships/hyperlink" Target="https://search.jobs.barclays/job/new-york/banking-analyst-discovery-program-2024-new-york/13015/59274928400" TargetMode="External"/><Relationship Id="rId68" Type="http://schemas.openxmlformats.org/officeDocument/2006/relationships/hyperlink" Target="https://ucla.joinhandshake.com/stu/jobs/8545057?utm_campaign=job_recommendation_digest&amp;utm_source=job_recommendation_mailer&amp;utm_medium=email" TargetMode="External"/><Relationship Id="rId89" Type="http://schemas.openxmlformats.org/officeDocument/2006/relationships/hyperlink" Target="https://www.citadel.com/careers/details/citadel-associate-program-equities-summer-internship-2025-us/" TargetMode="External"/><Relationship Id="rId112" Type="http://schemas.openxmlformats.org/officeDocument/2006/relationships/hyperlink" Target="https://boards.greenhouse.io/financialtechnologypartners/jobs/7119693002" TargetMode="External"/><Relationship Id="rId133" Type="http://schemas.openxmlformats.org/officeDocument/2006/relationships/hyperlink" Target="https://smbc.recsolu.com/external/requisitions/ZrxUrGV2iYjRcZcOZbR5ug" TargetMode="External"/><Relationship Id="rId154" Type="http://schemas.openxmlformats.org/officeDocument/2006/relationships/hyperlink" Target="https://recruiting.ultipro.com/PHO1003TPCIN/JobBoard/0b6d45c0-4136-4378-99db-6bbfbea23e26/OpportunityDetail?opportunityId=2e22ff1b-2510-49a5-a5ea-e5606f9b00d1" TargetMode="External"/><Relationship Id="rId16" Type="http://schemas.openxmlformats.org/officeDocument/2006/relationships/hyperlink" Target="https://phh.tbe.taleo.net/phh04/ats/careers/v2/viewRequisition?org=PIPER_SANDLER&amp;cws=44&amp;rid=3564" TargetMode="External"/><Relationship Id="rId37" Type="http://schemas.openxmlformats.org/officeDocument/2006/relationships/hyperlink" Target="https://apply.deloitte.com/careers/JobDetail/Deloitte-Corporate-Finance-Investment-Banking-2025-Summer-Analyst/167983" TargetMode="External"/><Relationship Id="rId58" Type="http://schemas.openxmlformats.org/officeDocument/2006/relationships/hyperlink" Target="https://aresmgmt.wd1.myworkdayjobs.com/en-US/External/job/XMLNAME-2025-Summer-Analyst--Private-Equity_R4813" TargetMode="External"/><Relationship Id="rId79" Type="http://schemas.openxmlformats.org/officeDocument/2006/relationships/hyperlink" Target="https://k1im.applytojob.com/apply/FqMJe9NAfq/Intern-Diligence-Summer-2025" TargetMode="External"/><Relationship Id="rId102" Type="http://schemas.openxmlformats.org/officeDocument/2006/relationships/hyperlink" Target="https://hl.wd1.myworkdayjobs.com/en-US/Campus/job/Summer-Financial-Analyst-2025---Financial-Restructuring--New-York_R1270" TargetMode="External"/><Relationship Id="rId123" Type="http://schemas.openxmlformats.org/officeDocument/2006/relationships/hyperlink" Target="https://mizuho.wd1.myworkdayjobs.com/Mizuho_Confidential/job/New-York-NY-1271-AOA6th-Ave/XMLNAME-2025-Investment---Corporate-Banking-Summer-Analyst---New-York-Office_R5046" TargetMode="External"/><Relationship Id="rId144" Type="http://schemas.openxmlformats.org/officeDocument/2006/relationships/hyperlink" Target="https://www.ruanecunniff.com/" TargetMode="External"/><Relationship Id="rId90" Type="http://schemas.openxmlformats.org/officeDocument/2006/relationships/hyperlink" Target="https://workforcenow.adp.com/mascsr/default/mdf/recruitment/recruitment.html?cid=690fd4e8-1a9f-4d18-ad44-b90ecdf30704&amp;jobId=478790" TargetMode="External"/><Relationship Id="rId27" Type="http://schemas.openxmlformats.org/officeDocument/2006/relationships/hyperlink" Target="https://www.cowen.com/join/job-details/?gh_jid=6995184002" TargetMode="External"/><Relationship Id="rId48" Type="http://schemas.openxmlformats.org/officeDocument/2006/relationships/hyperlink" Target="https://jobs.lever.co/aerispartners.com/4abec233-02fa-482d-bc93-69cdc9d90eb7" TargetMode="External"/><Relationship Id="rId69" Type="http://schemas.openxmlformats.org/officeDocument/2006/relationships/hyperlink" Target="https://career2.successfactors.eu/sfcareer/jobreqcareerpvt?jobId=10857&amp;company=temasekcapP2&amp;st=8E096123D31525F522999E8E395D492C521445E0" TargetMode="External"/><Relationship Id="rId113" Type="http://schemas.openxmlformats.org/officeDocument/2006/relationships/hyperlink" Target="https://boards.greenhouse.io/pjtpartnersstudents/jobs/4364239005" TargetMode="External"/><Relationship Id="rId134" Type="http://schemas.openxmlformats.org/officeDocument/2006/relationships/hyperlink" Target="https://smbc.recsolu.com/external/requisitions/fJenVgNKaoBIz9xD4w96Tw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ldmansachs.com/careers/students/programs/americas/2025-summer-analyst-program.html" TargetMode="External"/><Relationship Id="rId18" Type="http://schemas.openxmlformats.org/officeDocument/2006/relationships/hyperlink" Target="https://bankcampuscareers.tal.net/vx/lang-en-GB/mobile-0/brand-4/user-3078352/xf-2ac5ddb40ab1/candidate/so/pm/1/pl/1/opp/11228-Global-Investment-Banking-Summer-Analyst-Program-2025/en-GB" TargetMode="External"/><Relationship Id="rId26" Type="http://schemas.openxmlformats.org/officeDocument/2006/relationships/hyperlink" Target="https://lazard-careers.tal.net/vx/lang-en-GB/mobile-0/appcentre-1/brand-4/user-433262/xf-7e5912db9168/candidate/so/pm/1/pl/2/opp/1673-2025-Financial-Advisory-Summer-Analyst-Program-New-York-M-A-Restructuring-Generalist/en-GB" TargetMode="External"/><Relationship Id="rId39" Type="http://schemas.openxmlformats.org/officeDocument/2006/relationships/hyperlink" Target="https://rothschildandco.tal.net/vx/lang-en-GB/appcentre-1/candidate/postings/265" TargetMode="External"/><Relationship Id="rId21" Type="http://schemas.openxmlformats.org/officeDocument/2006/relationships/hyperlink" Target="https://jpmc.fa.oraclecloud.com/hcmUI/CandidateExperience/en/sites/CX_1001/job/210471276" TargetMode="External"/><Relationship Id="rId34" Type="http://schemas.openxmlformats.org/officeDocument/2006/relationships/hyperlink" Target="https://db.recsolu.com/external/requisitions/7KbTQFKxuTnR7bdFOQuUWw" TargetMode="External"/><Relationship Id="rId42" Type="http://schemas.openxmlformats.org/officeDocument/2006/relationships/hyperlink" Target="https://leerink.wd5.myworkdayjobs.com/en-US/leerinkpartners/job/XMLNAME-2025-Investment-Banking-Summer-Analyst-Program_R00394" TargetMode="External"/><Relationship Id="rId47" Type="http://schemas.openxmlformats.org/officeDocument/2006/relationships/hyperlink" Target="https://jpmc.fa.oraclecloud.com/hcmUI/CandidateExperience/en/sites/CX_1001/job/210471276" TargetMode="External"/><Relationship Id="rId50" Type="http://schemas.openxmlformats.org/officeDocument/2006/relationships/hyperlink" Target="https://hl.wd1.myworkdayjobs.com/en-US/Campus/job/XMLNAME-2025-Corporate-Finance-Summer-Financial-Analyst--Class-of-2026----New-York-Generalist_R1208" TargetMode="External"/><Relationship Id="rId55" Type="http://schemas.openxmlformats.org/officeDocument/2006/relationships/hyperlink" Target="https://williamblair.avature.net/careers/JobDetails?jobId=5626&amp;source=Handshake" TargetMode="External"/><Relationship Id="rId7" Type="http://schemas.openxmlformats.org/officeDocument/2006/relationships/hyperlink" Target="https://careers.jefferies.com/" TargetMode="External"/><Relationship Id="rId2" Type="http://schemas.openxmlformats.org/officeDocument/2006/relationships/hyperlink" Target="https://boards.greenhouse.io/pjtpartnersstudents/jobs/4362486005" TargetMode="External"/><Relationship Id="rId16" Type="http://schemas.openxmlformats.org/officeDocument/2006/relationships/hyperlink" Target="https://www.evercore.com/join-our-team/" TargetMode="External"/><Relationship Id="rId29" Type="http://schemas.openxmlformats.org/officeDocument/2006/relationships/hyperlink" Target="https://boards.greenhouse.io/pjtpartnersstudents/jobs/4362486005" TargetMode="External"/><Relationship Id="rId11" Type="http://schemas.openxmlformats.org/officeDocument/2006/relationships/hyperlink" Target="https://jpmc.fa.oraclecloud.com/hcmUI/CandidateExperience/en/sites/CX_1001/job/210471276" TargetMode="External"/><Relationship Id="rId24" Type="http://schemas.openxmlformats.org/officeDocument/2006/relationships/hyperlink" Target="https://krb-sjobs.brassring.com/TGnewUI/Search/home/HomeWithPreLoad?PageType=JobDetails&amp;partnerid=25008&amp;siteid=5029&amp;Areq=284261BR&amp;codes=GBInsight" TargetMode="External"/><Relationship Id="rId32" Type="http://schemas.openxmlformats.org/officeDocument/2006/relationships/hyperlink" Target="https://krb-sjobs.brassring.com/TGnewUI/Search/home/HomeWithPreLoad?PageType=JobDetails&amp;partnerid=25008&amp;siteid=5029&amp;Areq=284261BR&amp;codes=GBInsight" TargetMode="External"/><Relationship Id="rId37" Type="http://schemas.openxmlformats.org/officeDocument/2006/relationships/hyperlink" Target="https://lazard-careers.tal.net/vx/lang-en-GB/mobile-0/appcentre-1/brand-4/user-433262/xf-7e5912db9168/candidate/so/pm/1/pl/2/opp/1673-2025-Financial-Advisory-Summer-Analyst-Program-New-York-M-A-Restructuring-Generalist/en-GB" TargetMode="External"/><Relationship Id="rId40" Type="http://schemas.openxmlformats.org/officeDocument/2006/relationships/hyperlink" Target="https://careers-guggenheimpartners.icims.com/jobs/2781/2025-guggenheim-securities-investment-banking-summer-analyst-%e2%80%93-new-york-generalist-program/job" TargetMode="External"/><Relationship Id="rId45" Type="http://schemas.openxmlformats.org/officeDocument/2006/relationships/hyperlink" Target="https://bankcampuscareers.tal.net/vx/lang-en-GB/mobile-0/brand-4/user-3078352/xf-2ac5ddb40ab1/candidate/so/pm/1/pl/1/opp/11228-Global-Investment-Banking-Summer-Analyst-Program-2025/en-GB" TargetMode="External"/><Relationship Id="rId53" Type="http://schemas.openxmlformats.org/officeDocument/2006/relationships/hyperlink" Target="https://moelis-careers.tal.net/vx/lang-en-GB/mobile-0/appcentre-1/brand-4/user-14059/xf-5af876dcbc03/candidate/so/pm/1/pl/2/opp/109-2025-Summer-Analyst-Investment-Banking-New-York-City/en-GB" TargetMode="External"/><Relationship Id="rId58" Type="http://schemas.openxmlformats.org/officeDocument/2006/relationships/hyperlink" Target="https://jobs.lever.co/raine/39daa535-8543-4848-b132-6f2b670aa59a" TargetMode="External"/><Relationship Id="rId5" Type="http://schemas.openxmlformats.org/officeDocument/2006/relationships/hyperlink" Target="https://blackstone.wd1.myworkdayjobs.com/en-US/BX_External_Site/job/XMLNAME-2025-Blackstone-Private-Equity-Strategies--Acquisitions-Summer-Analyst_30329" TargetMode="External"/><Relationship Id="rId61" Type="http://schemas.openxmlformats.org/officeDocument/2006/relationships/hyperlink" Target="https://www.wellsfargojobs.com/en/jobs/r-331392/2025-summer-internship-early-careers-investment-banking-new-york/" TargetMode="External"/><Relationship Id="rId19" Type="http://schemas.openxmlformats.org/officeDocument/2006/relationships/hyperlink" Target="https://www.goldmansachs.com/careers/students/programs/americas/2025-summer-analyst-program.html" TargetMode="External"/><Relationship Id="rId14" Type="http://schemas.openxmlformats.org/officeDocument/2006/relationships/hyperlink" Target="https://citi.wd5.myworkdayjobs.com/en-US/2/job/NAM-Investment-Banking--Summer-Analyst---New-York--North-America---2025-_24728207" TargetMode="External"/><Relationship Id="rId22" Type="http://schemas.openxmlformats.org/officeDocument/2006/relationships/hyperlink" Target="https://bankcampuscareers.tal.net/vx/lang-en-GB/mobile-0/brand-4/user-3078352/xf-2ac5ddb40ab1/candidate/so/pm/1/pl/1/opp/11228-Global-Investment-Banking-Summer-Analyst-Program-2025/en-GB" TargetMode="External"/><Relationship Id="rId27" Type="http://schemas.openxmlformats.org/officeDocument/2006/relationships/hyperlink" Target="https://www.evercore.com/join-our-team/" TargetMode="External"/><Relationship Id="rId30" Type="http://schemas.openxmlformats.org/officeDocument/2006/relationships/hyperlink" Target="https://jpmc.fa.oraclecloud.com/hcmUI/CandidateExperience/en/sites/CX_1001/job/210471276" TargetMode="External"/><Relationship Id="rId35" Type="http://schemas.openxmlformats.org/officeDocument/2006/relationships/hyperlink" Target="https://pwpcareers.tal.net/vx/lang-en-GB/appcentre-1/candidate/postings/610" TargetMode="External"/><Relationship Id="rId43" Type="http://schemas.openxmlformats.org/officeDocument/2006/relationships/hyperlink" Target="https://www.wellsfargojobs.com/en/jobs/r-331392/2025-summer-internship-early-careers-investment-banking-new-york/" TargetMode="External"/><Relationship Id="rId48" Type="http://schemas.openxmlformats.org/officeDocument/2006/relationships/hyperlink" Target="https://rbc.wd3.myworkdayjobs.com/en-US/RBCEARLYTALENT1/job/XMLNAME-2025-Capital-Markets--Global-Investment-Banking-Summer-Analyst_R-0000067336" TargetMode="External"/><Relationship Id="rId56" Type="http://schemas.openxmlformats.org/officeDocument/2006/relationships/hyperlink" Target="https://rothschildandco.tal.net/vx/lang-en-GB/appcentre-1/candidate/postings/265" TargetMode="External"/><Relationship Id="rId8" Type="http://schemas.openxmlformats.org/officeDocument/2006/relationships/hyperlink" Target="https://rbc.wd3.myworkdayjobs.com/en-US/RBCEARLYTALENT1/job/XMLNAME-2025-Capital-Markets--Global-Investment-Banking-Summer-Analyst_R-0000067336" TargetMode="External"/><Relationship Id="rId51" Type="http://schemas.openxmlformats.org/officeDocument/2006/relationships/hyperlink" Target="https://db.recsolu.com/external/requisitions/7KbTQFKxuTnR7bdFOQuUWw" TargetMode="External"/><Relationship Id="rId3" Type="http://schemas.openxmlformats.org/officeDocument/2006/relationships/hyperlink" Target="https://www.centerviewpartners.com/careers.aspx" TargetMode="External"/><Relationship Id="rId12" Type="http://schemas.openxmlformats.org/officeDocument/2006/relationships/hyperlink" Target="https://bankcampuscareers.tal.net/vx/lang-en-GB/mobile-0/brand-4/user-3078352/xf-2ac5ddb40ab1/candidate/so/pm/1/pl/1/opp/11228-Global-Investment-Banking-Summer-Analyst-Program-2025/en-GB" TargetMode="External"/><Relationship Id="rId17" Type="http://schemas.openxmlformats.org/officeDocument/2006/relationships/hyperlink" Target="https://jpmc.fa.oraclecloud.com/hcmUI/CandidateExperience/en/sites/CX_1001/job/210471276" TargetMode="External"/><Relationship Id="rId25" Type="http://schemas.openxmlformats.org/officeDocument/2006/relationships/hyperlink" Target="https://db.recsolu.com/external/requisitions/7KbTQFKxuTnR7bdFOQuUWw" TargetMode="External"/><Relationship Id="rId33" Type="http://schemas.openxmlformats.org/officeDocument/2006/relationships/hyperlink" Target="https://hl.wd1.myworkdayjobs.com/en-US/Campus/job/XMLNAME-2025-Corporate-Finance-Summer-Financial-Analyst--Class-of-2026----New-York-Generalist_R1208" TargetMode="External"/><Relationship Id="rId38" Type="http://schemas.openxmlformats.org/officeDocument/2006/relationships/hyperlink" Target="https://williamblair.avature.net/careers/JobDetails?jobId=5626&amp;source=Handshake" TargetMode="External"/><Relationship Id="rId46" Type="http://schemas.openxmlformats.org/officeDocument/2006/relationships/hyperlink" Target="https://www.evercore.com/join-our-team/" TargetMode="External"/><Relationship Id="rId59" Type="http://schemas.openxmlformats.org/officeDocument/2006/relationships/hyperlink" Target="https://unionsquareadvisors.applytojob.com/apply/XuQUeIP75e/Investment-Banking-2025-Summer-Analyst" TargetMode="External"/><Relationship Id="rId20" Type="http://schemas.openxmlformats.org/officeDocument/2006/relationships/hyperlink" Target="https://moelis-careers.tal.net/vx/lang-en-GB/mobile-0/appcentre-1/brand-4/user-14059/xf-5af876dcbc03/candidate/so/pm/1/pl/2/opp/109-2025-Summer-Analyst-Investment-Banking-New-York-City/en-GB" TargetMode="External"/><Relationship Id="rId41" Type="http://schemas.openxmlformats.org/officeDocument/2006/relationships/hyperlink" Target="https://jobs.lever.co/raine/39daa535-8543-4848-b132-6f2b670aa59a" TargetMode="External"/><Relationship Id="rId54" Type="http://schemas.openxmlformats.org/officeDocument/2006/relationships/hyperlink" Target="https://lazard-careers.tal.net/vx/lang-en-GB/mobile-0/appcentre-1/brand-4/user-433262/xf-7e5912db9168/candidate/so/pm/1/pl/2/opp/1673-2025-Financial-Advisory-Summer-Analyst-Program-New-York-M-A-Restructuring-Generalist/en-GB" TargetMode="External"/><Relationship Id="rId62" Type="http://schemas.openxmlformats.org/officeDocument/2006/relationships/hyperlink" Target="https://boards.greenhouse.io/ducerapartnerscampus/jobs/5858281003?t=f9a046bb3us" TargetMode="External"/><Relationship Id="rId1" Type="http://schemas.openxmlformats.org/officeDocument/2006/relationships/hyperlink" Target="https://db.recsolu.com/external/requisitions/7KbTQFKxuTnR7bdFOQuUWw" TargetMode="External"/><Relationship Id="rId6" Type="http://schemas.openxmlformats.org/officeDocument/2006/relationships/hyperlink" Target="https://aresmgmt.wd1.myworkdayjobs.com/en-US/External/job/XMLNAME-2025-Summer-Analyst--Credit_R4807" TargetMode="External"/><Relationship Id="rId15" Type="http://schemas.openxmlformats.org/officeDocument/2006/relationships/hyperlink" Target="https://lazard-careers.tal.net/vx/lang-en-GB/mobile-0/appcentre-1/brand-4/user-433262/xf-7e5912db9168/candidate/so/pm/1/pl/2/opp/1673-2025-Financial-Advisory-Summer-Analyst-Program-New-York-M-A-Restructuring-Generalist/en-GB" TargetMode="External"/><Relationship Id="rId23" Type="http://schemas.openxmlformats.org/officeDocument/2006/relationships/hyperlink" Target="https://www.goldmansachs.com/careers/students/programs/americas/2025-summer-analyst-program.html" TargetMode="External"/><Relationship Id="rId28" Type="http://schemas.openxmlformats.org/officeDocument/2006/relationships/hyperlink" Target="https://moelis-careers.tal.net/vx/lang-en-GB/mobile-0/appcentre-1/brand-4/user-14059/xf-5af876dcbc03/candidate/so/pm/1/pl/2/opp/109-2025-Summer-Analyst-Investment-Banking-New-York-City/en-GB" TargetMode="External"/><Relationship Id="rId36" Type="http://schemas.openxmlformats.org/officeDocument/2006/relationships/hyperlink" Target="https://moelis-careers.tal.net/vx/lang-en-GB/mobile-0/appcentre-1/brand-4/user-14059/xf-5af876dcbc03/candidate/so/pm/1/pl/2/opp/109-2025-Summer-Analyst-Investment-Banking-New-York-City/en-GB" TargetMode="External"/><Relationship Id="rId49" Type="http://schemas.openxmlformats.org/officeDocument/2006/relationships/hyperlink" Target="https://krb-sjobs.brassring.com/TGnewUI/Search/home/HomeWithPreLoad?PageType=JobDetails&amp;partnerid=25008&amp;siteid=5029&amp;Areq=284261BR&amp;codes=GBInsight" TargetMode="External"/><Relationship Id="rId57" Type="http://schemas.openxmlformats.org/officeDocument/2006/relationships/hyperlink" Target="https://careers-guggenheimpartners.icims.com/jobs/2781/2025-guggenheim-securities-investment-banking-summer-analyst-%e2%80%93-new-york-generalist-program/job" TargetMode="External"/><Relationship Id="rId10" Type="http://schemas.openxmlformats.org/officeDocument/2006/relationships/hyperlink" Target="https://rothschildandco.tal.net/vx/lang-en-GB/appcentre-1/candidate/postings/265" TargetMode="External"/><Relationship Id="rId31" Type="http://schemas.openxmlformats.org/officeDocument/2006/relationships/hyperlink" Target="https://rbc.wd3.myworkdayjobs.com/en-US/RBCEARLYTALENT1/job/XMLNAME-2025-Capital-Markets--Global-Investment-Banking-Summer-Analyst_R-0000067336" TargetMode="External"/><Relationship Id="rId44" Type="http://schemas.openxmlformats.org/officeDocument/2006/relationships/hyperlink" Target="https://boards.greenhouse.io/ducerapartnerscampus/jobs/5858281003?t=f9a046bb3us" TargetMode="External"/><Relationship Id="rId52" Type="http://schemas.openxmlformats.org/officeDocument/2006/relationships/hyperlink" Target="https://pwpcareers.tal.net/vx/lang-en-GB/appcentre-1/candidate/postings/610" TargetMode="External"/><Relationship Id="rId60" Type="http://schemas.openxmlformats.org/officeDocument/2006/relationships/hyperlink" Target="https://leerink.wd5.myworkdayjobs.com/en-US/leerinkpartners/job/XMLNAME-2025-Investment-Banking-Summer-Analyst-Program_R00394" TargetMode="External"/><Relationship Id="rId4" Type="http://schemas.openxmlformats.org/officeDocument/2006/relationships/hyperlink" Target="https://www.greenhill.com/en/careers/positions" TargetMode="External"/><Relationship Id="rId9" Type="http://schemas.openxmlformats.org/officeDocument/2006/relationships/hyperlink" Target="https://hl.wd1.myworkdayjobs.com/en-US/Campus/job/XMLNAME-2025-Corporate-Finance-Summer-Financial-Analyst--Class-of-2026----New-York-Generalist_R1208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patris-rokni-91749b221/?lipi=urn%3Ali%3Apage%3Ad_flagship3_search_srp_people%3BxeqC7VRLQ%2BGM%2BbUh7hj4Pg%3D%3D" TargetMode="External"/><Relationship Id="rId2" Type="http://schemas.openxmlformats.org/officeDocument/2006/relationships/hyperlink" Target="https://www.linkedin.com/in/shilpisaran/?lipi=urn%3Ali%3Apage%3Ad_flagship3_search_srp_people%3B6rV%2F3paBSd6%2FWzle2YJfuw%3D%3D" TargetMode="External"/><Relationship Id="rId1" Type="http://schemas.openxmlformats.org/officeDocument/2006/relationships/hyperlink" Target="https://www.linkedin.com/in/jesussoto1/" TargetMode="External"/><Relationship Id="rId4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inkedin.com/feed/" TargetMode="External"/><Relationship Id="rId18" Type="http://schemas.openxmlformats.org/officeDocument/2006/relationships/hyperlink" Target="https://www.linkedin.com/feed/" TargetMode="External"/><Relationship Id="rId26" Type="http://schemas.openxmlformats.org/officeDocument/2006/relationships/hyperlink" Target="https://www.linkedin.com/feed/" TargetMode="External"/><Relationship Id="rId39" Type="http://schemas.openxmlformats.org/officeDocument/2006/relationships/hyperlink" Target="https://www.linkedin.com/feed/" TargetMode="External"/><Relationship Id="rId21" Type="http://schemas.openxmlformats.org/officeDocument/2006/relationships/hyperlink" Target="https://www.linkedin.com/feed/" TargetMode="External"/><Relationship Id="rId34" Type="http://schemas.openxmlformats.org/officeDocument/2006/relationships/hyperlink" Target="https://www.linkedin.com/feed/" TargetMode="External"/><Relationship Id="rId7" Type="http://schemas.openxmlformats.org/officeDocument/2006/relationships/hyperlink" Target="https://www.linkedin.com/feed/" TargetMode="External"/><Relationship Id="rId12" Type="http://schemas.openxmlformats.org/officeDocument/2006/relationships/hyperlink" Target="https://www.linkedin.com/feed/" TargetMode="External"/><Relationship Id="rId17" Type="http://schemas.openxmlformats.org/officeDocument/2006/relationships/hyperlink" Target="https://www.linkedin.com/feed/" TargetMode="External"/><Relationship Id="rId25" Type="http://schemas.openxmlformats.org/officeDocument/2006/relationships/hyperlink" Target="https://www.linkedin.com/feed/" TargetMode="External"/><Relationship Id="rId33" Type="http://schemas.openxmlformats.org/officeDocument/2006/relationships/hyperlink" Target="https://www.linkedin.com/feed/" TargetMode="External"/><Relationship Id="rId38" Type="http://schemas.openxmlformats.org/officeDocument/2006/relationships/hyperlink" Target="https://www.linkedin.com/feed/" TargetMode="External"/><Relationship Id="rId2" Type="http://schemas.openxmlformats.org/officeDocument/2006/relationships/hyperlink" Target="https://www.linkedin.com/feed/" TargetMode="External"/><Relationship Id="rId16" Type="http://schemas.openxmlformats.org/officeDocument/2006/relationships/hyperlink" Target="https://www.linkedin.com/feed/" TargetMode="External"/><Relationship Id="rId20" Type="http://schemas.openxmlformats.org/officeDocument/2006/relationships/hyperlink" Target="https://www.linkedin.com/feed/" TargetMode="External"/><Relationship Id="rId29" Type="http://schemas.openxmlformats.org/officeDocument/2006/relationships/hyperlink" Target="https://www.linkedin.com/feed/" TargetMode="External"/><Relationship Id="rId1" Type="http://schemas.openxmlformats.org/officeDocument/2006/relationships/hyperlink" Target="https://www.linkedin.com/feed/" TargetMode="External"/><Relationship Id="rId6" Type="http://schemas.openxmlformats.org/officeDocument/2006/relationships/hyperlink" Target="https://www.linkedin.com/feed/" TargetMode="External"/><Relationship Id="rId11" Type="http://schemas.openxmlformats.org/officeDocument/2006/relationships/hyperlink" Target="https://www.linkedin.com/feed/" TargetMode="External"/><Relationship Id="rId24" Type="http://schemas.openxmlformats.org/officeDocument/2006/relationships/hyperlink" Target="https://www.linkedin.com/feed/" TargetMode="External"/><Relationship Id="rId32" Type="http://schemas.openxmlformats.org/officeDocument/2006/relationships/hyperlink" Target="https://www.linkedin.com/feed/" TargetMode="External"/><Relationship Id="rId37" Type="http://schemas.openxmlformats.org/officeDocument/2006/relationships/hyperlink" Target="https://www.linkedin.com/feed/" TargetMode="External"/><Relationship Id="rId40" Type="http://schemas.openxmlformats.org/officeDocument/2006/relationships/hyperlink" Target="https://www.linkedin.com/feed/" TargetMode="External"/><Relationship Id="rId5" Type="http://schemas.openxmlformats.org/officeDocument/2006/relationships/hyperlink" Target="https://www.linkedin.com/feed/" TargetMode="External"/><Relationship Id="rId15" Type="http://schemas.openxmlformats.org/officeDocument/2006/relationships/hyperlink" Target="https://www.linkedin.com/feed/" TargetMode="External"/><Relationship Id="rId23" Type="http://schemas.openxmlformats.org/officeDocument/2006/relationships/hyperlink" Target="https://www.linkedin.com/feed/" TargetMode="External"/><Relationship Id="rId28" Type="http://schemas.openxmlformats.org/officeDocument/2006/relationships/hyperlink" Target="https://www.linkedin.com/feed/" TargetMode="External"/><Relationship Id="rId36" Type="http://schemas.openxmlformats.org/officeDocument/2006/relationships/hyperlink" Target="https://www.linkedin.com/feed/" TargetMode="External"/><Relationship Id="rId10" Type="http://schemas.openxmlformats.org/officeDocument/2006/relationships/hyperlink" Target="https://www.linkedin.com/feed/" TargetMode="External"/><Relationship Id="rId19" Type="http://schemas.openxmlformats.org/officeDocument/2006/relationships/hyperlink" Target="https://www.linkedin.com/feed/" TargetMode="External"/><Relationship Id="rId31" Type="http://schemas.openxmlformats.org/officeDocument/2006/relationships/hyperlink" Target="https://www.linkedin.com/feed/" TargetMode="External"/><Relationship Id="rId4" Type="http://schemas.openxmlformats.org/officeDocument/2006/relationships/hyperlink" Target="https://www.linkedin.com/feed/" TargetMode="External"/><Relationship Id="rId9" Type="http://schemas.openxmlformats.org/officeDocument/2006/relationships/hyperlink" Target="https://www.linkedin.com/feed/" TargetMode="External"/><Relationship Id="rId14" Type="http://schemas.openxmlformats.org/officeDocument/2006/relationships/hyperlink" Target="https://www.linkedin.com/feed/" TargetMode="External"/><Relationship Id="rId22" Type="http://schemas.openxmlformats.org/officeDocument/2006/relationships/hyperlink" Target="https://www.linkedin.com/feed/" TargetMode="External"/><Relationship Id="rId27" Type="http://schemas.openxmlformats.org/officeDocument/2006/relationships/hyperlink" Target="https://www.linkedin.com/feed/" TargetMode="External"/><Relationship Id="rId30" Type="http://schemas.openxmlformats.org/officeDocument/2006/relationships/hyperlink" Target="https://www.linkedin.com/feed/" TargetMode="External"/><Relationship Id="rId35" Type="http://schemas.openxmlformats.org/officeDocument/2006/relationships/hyperlink" Target="https://www.linkedin.com/feed/" TargetMode="External"/><Relationship Id="rId8" Type="http://schemas.openxmlformats.org/officeDocument/2006/relationships/hyperlink" Target="https://www.linkedin.com/feed/" TargetMode="External"/><Relationship Id="rId3" Type="http://schemas.openxmlformats.org/officeDocument/2006/relationships/hyperlink" Target="https://www.linkedin.com/feed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mitchell-steimle/" TargetMode="External"/><Relationship Id="rId2" Type="http://schemas.openxmlformats.org/officeDocument/2006/relationships/hyperlink" Target="https://www.linkedin.com/in/suyashgupta2022/" TargetMode="External"/><Relationship Id="rId1" Type="http://schemas.openxmlformats.org/officeDocument/2006/relationships/hyperlink" Target="https://www.linkedin.com/in/mark-bunkers/?lipi=urn%3Ali%3Apage%3Ad_flagship3_search_srp_people%3BewckZrMjRRikO27vRCpubg%3D%3D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in/rajeetc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in/noahjaysimon/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yihan-cherrie-liu-ba8aa578/" TargetMode="External"/><Relationship Id="rId7" Type="http://schemas.openxmlformats.org/officeDocument/2006/relationships/hyperlink" Target="https://www.linkedin.com/in/chasenvolkel/" TargetMode="External"/><Relationship Id="rId2" Type="http://schemas.openxmlformats.org/officeDocument/2006/relationships/hyperlink" Target="https://www.linkedin.com/in/anoush-torounian/" TargetMode="External"/><Relationship Id="rId1" Type="http://schemas.openxmlformats.org/officeDocument/2006/relationships/hyperlink" Target="https://www.linkedin.com/in/chinmayhpatel/" TargetMode="External"/><Relationship Id="rId6" Type="http://schemas.openxmlformats.org/officeDocument/2006/relationships/hyperlink" Target="https://www.linkedin.com/in/kevinzheng909/" TargetMode="External"/><Relationship Id="rId5" Type="http://schemas.openxmlformats.org/officeDocument/2006/relationships/hyperlink" Target="https://www.linkedin.com/in/dasrohit93/" TargetMode="External"/><Relationship Id="rId4" Type="http://schemas.openxmlformats.org/officeDocument/2006/relationships/hyperlink" Target="https://www.linkedin.com/in/richard-fan-98336114a/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scottksnow/" TargetMode="External"/><Relationship Id="rId3" Type="http://schemas.openxmlformats.org/officeDocument/2006/relationships/hyperlink" Target="https://www.linkedin.com/in/ville-myllymaeki-071805212/" TargetMode="External"/><Relationship Id="rId7" Type="http://schemas.openxmlformats.org/officeDocument/2006/relationships/hyperlink" Target="https://www.linkedin.com/in/gauravthakur027/" TargetMode="External"/><Relationship Id="rId2" Type="http://schemas.openxmlformats.org/officeDocument/2006/relationships/hyperlink" Target="https://www.linkedin.com/in/dagny-streit/" TargetMode="External"/><Relationship Id="rId1" Type="http://schemas.openxmlformats.org/officeDocument/2006/relationships/hyperlink" Target="https://www.linkedin.com/in/steve-west-a1811836/" TargetMode="External"/><Relationship Id="rId6" Type="http://schemas.openxmlformats.org/officeDocument/2006/relationships/hyperlink" Target="https://www.linkedin.com/in/shawn-tran-255568157/" TargetMode="External"/><Relationship Id="rId5" Type="http://schemas.openxmlformats.org/officeDocument/2006/relationships/hyperlink" Target="https://www.linkedin.com/in/german-a-rodriguez00/" TargetMode="External"/><Relationship Id="rId10" Type="http://schemas.openxmlformats.org/officeDocument/2006/relationships/hyperlink" Target="https://www.linkedin.com/in/justinxliu/" TargetMode="External"/><Relationship Id="rId4" Type="http://schemas.openxmlformats.org/officeDocument/2006/relationships/hyperlink" Target="https://www.linkedin.com/in/alexlu2/" TargetMode="External"/><Relationship Id="rId9" Type="http://schemas.openxmlformats.org/officeDocument/2006/relationships/hyperlink" Target="https://www.linkedin.com/in/justinlutsch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in/jeffjeseokle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04"/>
  <sheetViews>
    <sheetView workbookViewId="0">
      <pane ySplit="2" topLeftCell="A3" activePane="bottomLeft" state="frozen"/>
      <selection pane="bottomLeft" activeCell="C19" sqref="C19"/>
    </sheetView>
  </sheetViews>
  <sheetFormatPr defaultColWidth="12.6328125" defaultRowHeight="15" customHeight="1"/>
  <cols>
    <col min="1" max="1" width="3.7265625" customWidth="1"/>
    <col min="2" max="2" width="27.7265625" style="109" customWidth="1"/>
    <col min="3" max="3" width="21.36328125" customWidth="1"/>
    <col min="4" max="6" width="19" customWidth="1"/>
    <col min="7" max="9" width="17" customWidth="1"/>
  </cols>
  <sheetData>
    <row r="1" spans="1:24" ht="18.75" customHeight="1">
      <c r="A1" s="71" t="s">
        <v>0</v>
      </c>
      <c r="B1" s="72"/>
      <c r="C1" s="72"/>
      <c r="D1" s="72"/>
      <c r="E1" s="72"/>
      <c r="F1" s="72"/>
      <c r="G1" s="73" t="s">
        <v>3</v>
      </c>
      <c r="H1" s="72"/>
      <c r="I1" s="72"/>
      <c r="J1" s="3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33.75" customHeight="1">
      <c r="A2" s="4" t="s">
        <v>6</v>
      </c>
      <c r="B2" s="113" t="s">
        <v>7</v>
      </c>
      <c r="C2" s="5" t="s">
        <v>9</v>
      </c>
      <c r="D2" s="5" t="s">
        <v>21</v>
      </c>
      <c r="E2" s="5" t="s">
        <v>23</v>
      </c>
      <c r="F2" s="5" t="s">
        <v>19</v>
      </c>
      <c r="G2" s="5" t="s">
        <v>24</v>
      </c>
      <c r="H2" s="5" t="s">
        <v>28</v>
      </c>
      <c r="I2" s="5" t="s">
        <v>30</v>
      </c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7.25" customHeight="1">
      <c r="A3" s="6">
        <v>1</v>
      </c>
      <c r="B3" s="114" t="s">
        <v>752</v>
      </c>
      <c r="C3" s="7" t="s">
        <v>49</v>
      </c>
      <c r="D3" s="7" t="s">
        <v>53</v>
      </c>
      <c r="E3" s="7" t="s">
        <v>55</v>
      </c>
      <c r="F3" s="7" t="s">
        <v>57</v>
      </c>
      <c r="G3" s="9" t="s">
        <v>58</v>
      </c>
      <c r="H3" s="9" t="s">
        <v>58</v>
      </c>
      <c r="I3" s="9" t="s">
        <v>58</v>
      </c>
      <c r="J3" s="14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7.25" customHeight="1">
      <c r="A4" s="6">
        <v>2</v>
      </c>
      <c r="B4" s="106" t="s">
        <v>746</v>
      </c>
      <c r="C4" s="7" t="s">
        <v>49</v>
      </c>
      <c r="D4" s="7" t="s">
        <v>65</v>
      </c>
      <c r="E4" s="7" t="s">
        <v>66</v>
      </c>
      <c r="F4" s="7" t="s">
        <v>68</v>
      </c>
      <c r="G4" s="9" t="s">
        <v>58</v>
      </c>
      <c r="H4" s="9" t="s">
        <v>58</v>
      </c>
      <c r="I4" s="9" t="s">
        <v>58</v>
      </c>
      <c r="J4" s="1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ht="17.25" customHeight="1">
      <c r="A5" s="20">
        <v>3</v>
      </c>
      <c r="B5" s="106" t="s">
        <v>747</v>
      </c>
      <c r="C5" s="7" t="s">
        <v>49</v>
      </c>
      <c r="D5" s="7" t="s">
        <v>104</v>
      </c>
      <c r="E5" s="7" t="s">
        <v>105</v>
      </c>
      <c r="F5" s="7" t="s">
        <v>68</v>
      </c>
      <c r="G5" s="9" t="s">
        <v>58</v>
      </c>
      <c r="H5" s="9" t="s">
        <v>58</v>
      </c>
      <c r="I5" s="9" t="s">
        <v>58</v>
      </c>
      <c r="J5" s="14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24" ht="17.25" customHeight="1">
      <c r="A6" s="22">
        <v>4</v>
      </c>
      <c r="B6" s="106" t="s">
        <v>120</v>
      </c>
      <c r="C6" s="7" t="s">
        <v>49</v>
      </c>
      <c r="D6" s="7" t="s">
        <v>121</v>
      </c>
      <c r="E6" s="7" t="s">
        <v>122</v>
      </c>
      <c r="F6" s="7" t="s">
        <v>124</v>
      </c>
      <c r="G6" s="9" t="s">
        <v>58</v>
      </c>
      <c r="H6" s="9" t="s">
        <v>58</v>
      </c>
      <c r="I6" s="9" t="s">
        <v>58</v>
      </c>
      <c r="J6" s="14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 ht="17.25" customHeight="1">
      <c r="A7" s="22">
        <v>5</v>
      </c>
      <c r="B7" s="106" t="s">
        <v>750</v>
      </c>
      <c r="C7" s="7" t="s">
        <v>49</v>
      </c>
      <c r="D7" s="7" t="s">
        <v>126</v>
      </c>
      <c r="E7" s="7" t="s">
        <v>122</v>
      </c>
      <c r="F7" s="7" t="s">
        <v>68</v>
      </c>
      <c r="G7" s="9" t="s">
        <v>58</v>
      </c>
      <c r="H7" s="9" t="s">
        <v>58</v>
      </c>
      <c r="I7" s="9" t="s">
        <v>58</v>
      </c>
      <c r="J7" s="14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 ht="17.25" customHeight="1">
      <c r="A8" s="23">
        <v>6</v>
      </c>
      <c r="B8" s="106" t="s">
        <v>748</v>
      </c>
      <c r="C8" s="7" t="s">
        <v>49</v>
      </c>
      <c r="D8" s="7" t="s">
        <v>138</v>
      </c>
      <c r="E8" s="7" t="s">
        <v>142</v>
      </c>
      <c r="F8" s="7" t="s">
        <v>68</v>
      </c>
      <c r="G8" s="9" t="s">
        <v>58</v>
      </c>
      <c r="H8" s="9" t="s">
        <v>58</v>
      </c>
      <c r="I8" s="9" t="s">
        <v>58</v>
      </c>
      <c r="J8" s="1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 ht="17.25" customHeight="1">
      <c r="A9" s="23">
        <v>7</v>
      </c>
      <c r="B9" s="106" t="s">
        <v>749</v>
      </c>
      <c r="C9" s="7" t="s">
        <v>49</v>
      </c>
      <c r="D9" s="7" t="s">
        <v>210</v>
      </c>
      <c r="E9" s="7" t="s">
        <v>211</v>
      </c>
      <c r="F9" s="7" t="s">
        <v>68</v>
      </c>
      <c r="G9" s="9" t="s">
        <v>58</v>
      </c>
      <c r="H9" s="9" t="s">
        <v>58</v>
      </c>
      <c r="I9" s="9" t="s">
        <v>58</v>
      </c>
      <c r="J9" s="1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 ht="17.25" customHeight="1">
      <c r="A10" s="23">
        <v>8</v>
      </c>
      <c r="B10" s="106" t="s">
        <v>217</v>
      </c>
      <c r="C10" s="7" t="s">
        <v>49</v>
      </c>
      <c r="D10" s="7" t="s">
        <v>121</v>
      </c>
      <c r="E10" s="7" t="s">
        <v>218</v>
      </c>
      <c r="F10" s="7" t="s">
        <v>68</v>
      </c>
      <c r="G10" s="9" t="s">
        <v>58</v>
      </c>
      <c r="H10" s="9" t="s">
        <v>58</v>
      </c>
      <c r="I10" s="9" t="s">
        <v>58</v>
      </c>
      <c r="J10" s="14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 ht="10.5" customHeight="1">
      <c r="A11" s="74"/>
      <c r="B11" s="72"/>
      <c r="C11" s="72"/>
      <c r="D11" s="72"/>
      <c r="E11" s="72"/>
      <c r="F11" s="72"/>
      <c r="G11" s="72"/>
      <c r="H11" s="72"/>
      <c r="I11" s="72"/>
      <c r="J11" s="14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 ht="17.25" customHeight="1">
      <c r="A12" s="6">
        <v>9</v>
      </c>
      <c r="B12" s="114" t="s">
        <v>227</v>
      </c>
      <c r="C12" s="7" t="s">
        <v>228</v>
      </c>
      <c r="D12" s="7"/>
      <c r="E12" s="7"/>
      <c r="F12" s="7" t="s">
        <v>68</v>
      </c>
      <c r="G12" s="9"/>
      <c r="H12" s="9"/>
      <c r="I12" s="9"/>
      <c r="J12" s="1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4" ht="17.25" customHeight="1">
      <c r="A13" s="6">
        <v>10</v>
      </c>
      <c r="B13" s="107" t="s">
        <v>745</v>
      </c>
      <c r="C13" s="7" t="s">
        <v>228</v>
      </c>
      <c r="D13" s="7" t="s">
        <v>231</v>
      </c>
      <c r="E13" s="7" t="s">
        <v>122</v>
      </c>
      <c r="F13" s="7" t="s">
        <v>124</v>
      </c>
      <c r="G13" s="9" t="s">
        <v>58</v>
      </c>
      <c r="H13" s="9" t="s">
        <v>58</v>
      </c>
      <c r="I13" s="9" t="s">
        <v>58</v>
      </c>
      <c r="J13" s="1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4" ht="17.25" customHeight="1">
      <c r="A14" s="6">
        <v>11</v>
      </c>
      <c r="B14" s="107" t="s">
        <v>237</v>
      </c>
      <c r="C14" s="7" t="s">
        <v>228</v>
      </c>
      <c r="D14" s="7" t="s">
        <v>238</v>
      </c>
      <c r="E14" s="7" t="s">
        <v>239</v>
      </c>
      <c r="F14" s="7" t="s">
        <v>68</v>
      </c>
      <c r="G14" s="9" t="s">
        <v>58</v>
      </c>
      <c r="H14" s="9" t="s">
        <v>58</v>
      </c>
      <c r="I14" s="9" t="s">
        <v>58</v>
      </c>
      <c r="J14" s="1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 ht="17.25" customHeight="1">
      <c r="A15" s="6">
        <v>12</v>
      </c>
      <c r="B15" s="105" t="str">
        <f>HYPERLINK("","Moelis &amp; Company (MC) &amp; Moelis NY (MCNY)")</f>
        <v>Moelis &amp; Company (MC) &amp; Moelis NY (MCNY)</v>
      </c>
      <c r="C15" s="7" t="s">
        <v>228</v>
      </c>
      <c r="D15" s="7" t="s">
        <v>246</v>
      </c>
      <c r="E15" s="24" t="s">
        <v>247</v>
      </c>
      <c r="F15" s="7" t="s">
        <v>68</v>
      </c>
      <c r="G15" s="9" t="s">
        <v>58</v>
      </c>
      <c r="H15" s="9" t="s">
        <v>58</v>
      </c>
      <c r="I15" s="9" t="s">
        <v>58</v>
      </c>
      <c r="J15" s="1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 ht="17.25" customHeight="1">
      <c r="A16" s="6">
        <v>13</v>
      </c>
      <c r="B16" s="107" t="s">
        <v>252</v>
      </c>
      <c r="C16" s="7" t="s">
        <v>228</v>
      </c>
      <c r="D16" s="7" t="s">
        <v>254</v>
      </c>
      <c r="E16" s="7" t="s">
        <v>255</v>
      </c>
      <c r="F16" s="7" t="s">
        <v>124</v>
      </c>
      <c r="G16" s="9" t="s">
        <v>58</v>
      </c>
      <c r="H16" s="9" t="s">
        <v>58</v>
      </c>
      <c r="I16" s="9" t="s">
        <v>58</v>
      </c>
      <c r="J16" s="1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1:24" ht="17.25" customHeight="1">
      <c r="A17" s="6">
        <v>14</v>
      </c>
      <c r="B17" s="108" t="s">
        <v>258</v>
      </c>
      <c r="C17" s="7" t="s">
        <v>228</v>
      </c>
      <c r="D17" s="7"/>
      <c r="E17" s="7"/>
      <c r="F17" s="7" t="s">
        <v>68</v>
      </c>
      <c r="G17" s="9"/>
      <c r="H17" s="9"/>
      <c r="I17" s="9"/>
      <c r="J17" s="1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1:24" ht="17.25" customHeight="1">
      <c r="A18" s="6">
        <v>15</v>
      </c>
      <c r="B18" s="108" t="s">
        <v>262</v>
      </c>
      <c r="C18" s="7" t="s">
        <v>228</v>
      </c>
      <c r="D18" s="7"/>
      <c r="E18" s="7"/>
      <c r="F18" s="7" t="s">
        <v>68</v>
      </c>
      <c r="G18" s="9"/>
      <c r="H18" s="9"/>
      <c r="I18" s="9"/>
      <c r="J18" s="14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spans="1:24" ht="17.25" customHeight="1">
      <c r="A19" s="6">
        <v>15</v>
      </c>
      <c r="B19" s="107" t="s">
        <v>264</v>
      </c>
      <c r="C19" s="7" t="s">
        <v>228</v>
      </c>
      <c r="D19" s="7" t="s">
        <v>265</v>
      </c>
      <c r="E19" s="7" t="s">
        <v>267</v>
      </c>
      <c r="F19" s="7" t="s">
        <v>68</v>
      </c>
      <c r="G19" s="9" t="s">
        <v>58</v>
      </c>
      <c r="H19" s="9" t="s">
        <v>58</v>
      </c>
      <c r="I19" s="9" t="s">
        <v>58</v>
      </c>
      <c r="J19" s="1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spans="1:24" ht="17.25" customHeight="1">
      <c r="A20" s="6">
        <v>16</v>
      </c>
      <c r="B20" s="108" t="s">
        <v>272</v>
      </c>
      <c r="C20" s="7" t="s">
        <v>228</v>
      </c>
      <c r="D20" s="7"/>
      <c r="E20" s="7"/>
      <c r="F20" s="7" t="s">
        <v>68</v>
      </c>
      <c r="G20" s="9"/>
      <c r="H20" s="9"/>
      <c r="I20" s="9"/>
      <c r="J20" s="14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spans="1:24" ht="17.25" customHeight="1">
      <c r="A21" s="6">
        <v>17</v>
      </c>
      <c r="B21" s="108" t="s">
        <v>274</v>
      </c>
      <c r="C21" s="7" t="s">
        <v>228</v>
      </c>
      <c r="D21" s="7"/>
      <c r="E21" s="7"/>
      <c r="F21" s="7" t="s">
        <v>124</v>
      </c>
      <c r="G21" s="9"/>
      <c r="H21" s="9"/>
      <c r="I21" s="9"/>
      <c r="J21" s="14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spans="1:24" ht="17.25" customHeight="1">
      <c r="A22" s="6">
        <v>18</v>
      </c>
      <c r="B22" s="107" t="s">
        <v>279</v>
      </c>
      <c r="C22" s="7" t="s">
        <v>228</v>
      </c>
      <c r="D22" s="7" t="s">
        <v>280</v>
      </c>
      <c r="E22" s="7" t="s">
        <v>281</v>
      </c>
      <c r="F22" s="7" t="s">
        <v>68</v>
      </c>
      <c r="G22" s="9" t="s">
        <v>58</v>
      </c>
      <c r="H22" s="9" t="s">
        <v>58</v>
      </c>
      <c r="I22" s="9" t="s">
        <v>58</v>
      </c>
      <c r="J22" s="1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 ht="17.25" customHeight="1">
      <c r="A23" s="6">
        <v>19</v>
      </c>
      <c r="B23" s="108" t="s">
        <v>284</v>
      </c>
      <c r="C23" s="7" t="s">
        <v>228</v>
      </c>
      <c r="D23" s="7"/>
      <c r="E23" s="7"/>
      <c r="F23" s="7" t="s">
        <v>68</v>
      </c>
      <c r="G23" s="9"/>
      <c r="H23" s="9"/>
      <c r="I23" s="9"/>
      <c r="J23" s="14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 ht="17.25" customHeight="1">
      <c r="A24" s="6">
        <v>20</v>
      </c>
      <c r="B24" s="107" t="s">
        <v>286</v>
      </c>
      <c r="C24" s="7" t="s">
        <v>228</v>
      </c>
      <c r="D24" s="7" t="s">
        <v>287</v>
      </c>
      <c r="E24" s="7" t="s">
        <v>288</v>
      </c>
      <c r="F24" s="7" t="s">
        <v>68</v>
      </c>
      <c r="G24" s="9" t="s">
        <v>58</v>
      </c>
      <c r="H24" s="9" t="s">
        <v>58</v>
      </c>
      <c r="I24" s="9" t="s">
        <v>58</v>
      </c>
      <c r="J24" s="14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24" ht="17.25" customHeight="1">
      <c r="A25" s="28">
        <v>21</v>
      </c>
      <c r="B25" s="109" t="s">
        <v>264</v>
      </c>
      <c r="C25" s="7" t="s">
        <v>228</v>
      </c>
      <c r="F25" s="7" t="s">
        <v>68</v>
      </c>
      <c r="J25" s="14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1:24" ht="10.5" customHeight="1">
      <c r="A26" s="74"/>
      <c r="B26" s="72"/>
      <c r="C26" s="72"/>
      <c r="D26" s="72"/>
      <c r="E26" s="72"/>
      <c r="F26" s="72"/>
      <c r="G26" s="72"/>
      <c r="H26" s="72"/>
      <c r="I26" s="72"/>
      <c r="J26" s="14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1:24" ht="15.75" customHeight="1">
      <c r="A27" s="6">
        <v>21</v>
      </c>
      <c r="B27" s="107" t="s">
        <v>294</v>
      </c>
      <c r="C27" s="7" t="s">
        <v>295</v>
      </c>
      <c r="D27" s="7" t="s">
        <v>210</v>
      </c>
      <c r="E27" s="24" t="s">
        <v>247</v>
      </c>
      <c r="F27" s="7"/>
      <c r="G27" s="9" t="s">
        <v>58</v>
      </c>
      <c r="H27" s="9" t="s">
        <v>58</v>
      </c>
      <c r="I27" s="9" t="s">
        <v>58</v>
      </c>
      <c r="J27" s="14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spans="1:24" ht="15.75" customHeight="1">
      <c r="A28" s="6">
        <v>22</v>
      </c>
      <c r="B28" s="107" t="s">
        <v>296</v>
      </c>
      <c r="C28" s="7" t="s">
        <v>295</v>
      </c>
      <c r="D28" s="7" t="s">
        <v>297</v>
      </c>
      <c r="E28" s="7" t="s">
        <v>142</v>
      </c>
      <c r="F28" s="7"/>
      <c r="G28" s="9" t="s">
        <v>58</v>
      </c>
      <c r="H28" s="9" t="s">
        <v>58</v>
      </c>
      <c r="I28" s="9" t="s">
        <v>58</v>
      </c>
      <c r="J28" s="14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spans="1:24" ht="15.75" customHeight="1">
      <c r="A29" s="6">
        <v>23</v>
      </c>
      <c r="B29" s="107" t="s">
        <v>299</v>
      </c>
      <c r="C29" s="7" t="s">
        <v>300</v>
      </c>
      <c r="D29" s="7" t="s">
        <v>301</v>
      </c>
      <c r="E29" s="7" t="s">
        <v>302</v>
      </c>
      <c r="F29" s="7"/>
      <c r="G29" s="9" t="s">
        <v>58</v>
      </c>
      <c r="H29" s="9" t="s">
        <v>58</v>
      </c>
      <c r="I29" s="9" t="s">
        <v>58</v>
      </c>
      <c r="J29" s="14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spans="1:24" ht="15.75" customHeight="1">
      <c r="A30" s="6">
        <v>24</v>
      </c>
      <c r="B30" s="107" t="s">
        <v>303</v>
      </c>
      <c r="C30" s="7" t="s">
        <v>295</v>
      </c>
      <c r="D30" s="7" t="s">
        <v>304</v>
      </c>
      <c r="E30" s="7" t="s">
        <v>305</v>
      </c>
      <c r="F30" s="7"/>
      <c r="G30" s="9" t="s">
        <v>58</v>
      </c>
      <c r="H30" s="9" t="s">
        <v>58</v>
      </c>
      <c r="I30" s="9" t="s">
        <v>58</v>
      </c>
      <c r="J30" s="14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1:24" ht="15.75" customHeight="1">
      <c r="A31" s="6">
        <v>25</v>
      </c>
      <c r="B31" s="107" t="s">
        <v>306</v>
      </c>
      <c r="C31" s="7" t="s">
        <v>295</v>
      </c>
      <c r="D31" s="7" t="s">
        <v>307</v>
      </c>
      <c r="E31" s="7" t="s">
        <v>308</v>
      </c>
      <c r="F31" s="7"/>
      <c r="G31" s="9" t="s">
        <v>58</v>
      </c>
      <c r="H31" s="9" t="s">
        <v>58</v>
      </c>
      <c r="I31" s="9" t="s">
        <v>58</v>
      </c>
      <c r="J31" s="14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spans="1:24" ht="15.75" customHeight="1">
      <c r="A32" s="6">
        <v>26</v>
      </c>
      <c r="B32" s="107" t="s">
        <v>309</v>
      </c>
      <c r="C32" s="7" t="s">
        <v>295</v>
      </c>
      <c r="D32" s="7" t="s">
        <v>310</v>
      </c>
      <c r="E32" s="7" t="s">
        <v>311</v>
      </c>
      <c r="F32" s="7"/>
      <c r="G32" s="9" t="s">
        <v>58</v>
      </c>
      <c r="H32" s="9" t="s">
        <v>58</v>
      </c>
      <c r="I32" s="9" t="s">
        <v>58</v>
      </c>
      <c r="J32" s="14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spans="1:24" ht="10.5" customHeight="1">
      <c r="A33" s="74"/>
      <c r="B33" s="72"/>
      <c r="C33" s="72"/>
      <c r="D33" s="72"/>
      <c r="E33" s="72"/>
      <c r="F33" s="72"/>
      <c r="G33" s="72"/>
      <c r="H33" s="72"/>
      <c r="I33" s="72"/>
      <c r="J33" s="14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spans="1:24" ht="17.25" customHeight="1">
      <c r="A34" s="6">
        <v>27</v>
      </c>
      <c r="B34" s="107" t="s">
        <v>313</v>
      </c>
      <c r="C34" s="7" t="s">
        <v>315</v>
      </c>
      <c r="D34" s="7" t="s">
        <v>316</v>
      </c>
      <c r="E34" s="7" t="s">
        <v>122</v>
      </c>
      <c r="F34" s="7" t="s">
        <v>68</v>
      </c>
      <c r="G34" s="9" t="s">
        <v>58</v>
      </c>
      <c r="H34" s="9" t="s">
        <v>58</v>
      </c>
      <c r="I34" s="9" t="s">
        <v>58</v>
      </c>
      <c r="J34" s="14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spans="1:24" ht="17.25" customHeight="1">
      <c r="A35" s="6">
        <v>28</v>
      </c>
      <c r="B35" s="107" t="s">
        <v>317</v>
      </c>
      <c r="C35" s="7" t="s">
        <v>315</v>
      </c>
      <c r="D35" s="7" t="s">
        <v>318</v>
      </c>
      <c r="E35" s="7" t="s">
        <v>319</v>
      </c>
      <c r="F35" s="7" t="s">
        <v>320</v>
      </c>
      <c r="G35" s="9" t="s">
        <v>58</v>
      </c>
      <c r="H35" s="9" t="s">
        <v>58</v>
      </c>
      <c r="I35" s="9" t="s">
        <v>58</v>
      </c>
      <c r="J35" s="1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spans="1:24" ht="17.25" customHeight="1">
      <c r="A36" s="6">
        <v>29</v>
      </c>
      <c r="B36" s="103" t="s">
        <v>321</v>
      </c>
      <c r="C36" s="7" t="s">
        <v>315</v>
      </c>
      <c r="D36" s="7" t="s">
        <v>322</v>
      </c>
      <c r="E36" s="7" t="s">
        <v>323</v>
      </c>
      <c r="F36" s="7" t="s">
        <v>320</v>
      </c>
      <c r="G36" s="9" t="s">
        <v>58</v>
      </c>
      <c r="H36" s="9" t="s">
        <v>58</v>
      </c>
      <c r="I36" s="9" t="s">
        <v>58</v>
      </c>
      <c r="J36" s="14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spans="1:24" ht="17.25" customHeight="1">
      <c r="A37" s="6">
        <v>30</v>
      </c>
      <c r="B37" s="107" t="s">
        <v>324</v>
      </c>
      <c r="C37" s="7" t="s">
        <v>315</v>
      </c>
      <c r="D37" s="7" t="s">
        <v>210</v>
      </c>
      <c r="E37" s="7" t="s">
        <v>325</v>
      </c>
      <c r="F37" s="7" t="s">
        <v>68</v>
      </c>
      <c r="G37" s="9" t="s">
        <v>58</v>
      </c>
      <c r="H37" s="9" t="s">
        <v>58</v>
      </c>
      <c r="I37" s="9" t="s">
        <v>58</v>
      </c>
      <c r="J37" s="1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spans="1:24" ht="17.25" customHeight="1">
      <c r="A38" s="6">
        <v>31</v>
      </c>
      <c r="B38" s="107" t="s">
        <v>327</v>
      </c>
      <c r="C38" s="7" t="s">
        <v>315</v>
      </c>
      <c r="D38" s="7" t="s">
        <v>316</v>
      </c>
      <c r="E38" s="7" t="s">
        <v>328</v>
      </c>
      <c r="F38" s="7" t="s">
        <v>68</v>
      </c>
      <c r="G38" s="9" t="s">
        <v>58</v>
      </c>
      <c r="H38" s="9" t="s">
        <v>58</v>
      </c>
      <c r="I38" s="9" t="s">
        <v>58</v>
      </c>
      <c r="J38" s="1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spans="1:24" ht="17.25" customHeight="1">
      <c r="A39" s="6">
        <v>32</v>
      </c>
      <c r="B39" s="107" t="s">
        <v>329</v>
      </c>
      <c r="C39" s="7" t="s">
        <v>315</v>
      </c>
      <c r="D39" s="7" t="s">
        <v>330</v>
      </c>
      <c r="E39" s="7" t="s">
        <v>331</v>
      </c>
      <c r="F39" s="7" t="s">
        <v>124</v>
      </c>
      <c r="G39" s="9" t="s">
        <v>58</v>
      </c>
      <c r="H39" s="9" t="s">
        <v>58</v>
      </c>
      <c r="I39" s="9" t="s">
        <v>58</v>
      </c>
      <c r="J39" s="1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spans="1:24" ht="17.25" customHeight="1">
      <c r="A40" s="6">
        <v>32</v>
      </c>
      <c r="B40" s="107" t="s">
        <v>333</v>
      </c>
      <c r="C40" s="7" t="s">
        <v>315</v>
      </c>
      <c r="D40" s="7" t="s">
        <v>334</v>
      </c>
      <c r="E40" s="7" t="s">
        <v>335</v>
      </c>
      <c r="F40" s="7" t="s">
        <v>68</v>
      </c>
      <c r="G40" s="9" t="s">
        <v>58</v>
      </c>
      <c r="H40" s="9" t="s">
        <v>58</v>
      </c>
      <c r="I40" s="9" t="s">
        <v>58</v>
      </c>
      <c r="J40" s="14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spans="1:24" ht="17.25" customHeight="1">
      <c r="A41" s="6">
        <v>33</v>
      </c>
      <c r="B41" s="107" t="s">
        <v>336</v>
      </c>
      <c r="C41" s="7" t="s">
        <v>315</v>
      </c>
      <c r="D41" s="7" t="s">
        <v>337</v>
      </c>
      <c r="E41" s="7" t="s">
        <v>338</v>
      </c>
      <c r="F41" s="7" t="s">
        <v>68</v>
      </c>
      <c r="G41" s="9" t="s">
        <v>58</v>
      </c>
      <c r="H41" s="9" t="s">
        <v>58</v>
      </c>
      <c r="I41" s="9" t="s">
        <v>58</v>
      </c>
      <c r="J41" s="14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spans="1:24" ht="17.25" customHeight="1">
      <c r="A42" s="6">
        <v>34</v>
      </c>
      <c r="B42" s="108" t="s">
        <v>162</v>
      </c>
      <c r="C42" s="7" t="s">
        <v>315</v>
      </c>
      <c r="D42" s="7" t="s">
        <v>337</v>
      </c>
      <c r="E42" s="7" t="s">
        <v>338</v>
      </c>
      <c r="F42" s="7" t="s">
        <v>68</v>
      </c>
      <c r="G42" s="9" t="s">
        <v>58</v>
      </c>
      <c r="H42" s="9" t="s">
        <v>58</v>
      </c>
      <c r="I42" s="9" t="s">
        <v>58</v>
      </c>
      <c r="J42" s="1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spans="1:24" ht="17.25" customHeight="1">
      <c r="A43" s="6">
        <v>35</v>
      </c>
      <c r="B43" s="107" t="s">
        <v>339</v>
      </c>
      <c r="C43" s="7" t="s">
        <v>315</v>
      </c>
      <c r="D43" s="7" t="s">
        <v>340</v>
      </c>
      <c r="E43" s="7" t="s">
        <v>341</v>
      </c>
      <c r="F43" s="7" t="s">
        <v>68</v>
      </c>
      <c r="G43" s="9" t="s">
        <v>58</v>
      </c>
      <c r="H43" s="9" t="s">
        <v>58</v>
      </c>
      <c r="I43" s="9" t="s">
        <v>58</v>
      </c>
      <c r="J43" s="1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spans="1:24" ht="17.25" customHeight="1">
      <c r="A44" s="6">
        <v>36</v>
      </c>
      <c r="B44" s="107" t="s">
        <v>342</v>
      </c>
      <c r="C44" s="7" t="s">
        <v>315</v>
      </c>
      <c r="D44" s="7" t="s">
        <v>343</v>
      </c>
      <c r="E44" s="7" t="s">
        <v>344</v>
      </c>
      <c r="F44" s="7" t="s">
        <v>68</v>
      </c>
      <c r="G44" s="9" t="s">
        <v>58</v>
      </c>
      <c r="H44" s="9" t="s">
        <v>58</v>
      </c>
      <c r="I44" s="9" t="s">
        <v>58</v>
      </c>
      <c r="J44" s="14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spans="1:24" ht="17.25" customHeight="1">
      <c r="A45" s="6">
        <v>37</v>
      </c>
      <c r="B45" s="107" t="s">
        <v>345</v>
      </c>
      <c r="C45" s="7" t="s">
        <v>315</v>
      </c>
      <c r="D45" s="7" t="s">
        <v>346</v>
      </c>
      <c r="E45" s="7" t="s">
        <v>347</v>
      </c>
      <c r="F45" s="7" t="s">
        <v>68</v>
      </c>
      <c r="G45" s="9" t="s">
        <v>58</v>
      </c>
      <c r="H45" s="9" t="s">
        <v>58</v>
      </c>
      <c r="I45" s="9" t="s">
        <v>58</v>
      </c>
      <c r="J45" s="14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spans="1:24" ht="17.25" customHeight="1">
      <c r="A46" s="6">
        <v>38</v>
      </c>
      <c r="B46" s="108" t="s">
        <v>349</v>
      </c>
      <c r="C46" s="7" t="s">
        <v>315</v>
      </c>
      <c r="D46" s="7" t="s">
        <v>337</v>
      </c>
      <c r="E46" s="7" t="s">
        <v>338</v>
      </c>
      <c r="F46" s="7" t="s">
        <v>68</v>
      </c>
      <c r="G46" s="9" t="s">
        <v>58</v>
      </c>
      <c r="H46" s="9" t="s">
        <v>58</v>
      </c>
      <c r="I46" s="9" t="s">
        <v>58</v>
      </c>
      <c r="J46" s="14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spans="1:24" ht="17.25" customHeight="1">
      <c r="A47" s="6">
        <v>39</v>
      </c>
      <c r="B47" s="107" t="s">
        <v>352</v>
      </c>
      <c r="C47" s="7" t="s">
        <v>315</v>
      </c>
      <c r="D47" s="7" t="s">
        <v>354</v>
      </c>
      <c r="E47" s="7" t="s">
        <v>355</v>
      </c>
      <c r="F47" s="7" t="s">
        <v>68</v>
      </c>
      <c r="G47" s="9" t="s">
        <v>58</v>
      </c>
      <c r="H47" s="9" t="s">
        <v>58</v>
      </c>
      <c r="I47" s="9" t="s">
        <v>58</v>
      </c>
      <c r="J47" s="14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1:24" ht="15.75" customHeight="1">
      <c r="A48" s="6">
        <v>40</v>
      </c>
      <c r="B48" s="107" t="s">
        <v>356</v>
      </c>
      <c r="C48" s="7" t="s">
        <v>315</v>
      </c>
      <c r="D48" s="7" t="s">
        <v>357</v>
      </c>
      <c r="E48" s="7" t="s">
        <v>319</v>
      </c>
      <c r="F48" s="7" t="s">
        <v>68</v>
      </c>
      <c r="G48" s="9" t="s">
        <v>58</v>
      </c>
      <c r="H48" s="9" t="s">
        <v>58</v>
      </c>
      <c r="I48" s="9" t="s">
        <v>58</v>
      </c>
      <c r="J48" s="14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spans="1:24" ht="15.75" customHeight="1">
      <c r="A49" s="6">
        <v>41</v>
      </c>
      <c r="B49" s="107" t="s">
        <v>359</v>
      </c>
      <c r="C49" s="7" t="s">
        <v>315</v>
      </c>
      <c r="D49" s="7" t="s">
        <v>360</v>
      </c>
      <c r="E49" s="7" t="s">
        <v>361</v>
      </c>
      <c r="F49" s="7" t="s">
        <v>68</v>
      </c>
      <c r="G49" s="9" t="s">
        <v>58</v>
      </c>
      <c r="H49" s="9" t="s">
        <v>58</v>
      </c>
      <c r="I49" s="9" t="s">
        <v>58</v>
      </c>
      <c r="J49" s="14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 spans="1:24" ht="15.75" customHeight="1">
      <c r="A50" s="6">
        <v>42</v>
      </c>
      <c r="B50" s="107" t="s">
        <v>364</v>
      </c>
      <c r="C50" s="7" t="s">
        <v>315</v>
      </c>
      <c r="D50" s="7" t="s">
        <v>366</v>
      </c>
      <c r="E50" s="7" t="s">
        <v>142</v>
      </c>
      <c r="F50" s="7" t="s">
        <v>68</v>
      </c>
      <c r="G50" s="9" t="s">
        <v>58</v>
      </c>
      <c r="H50" s="9" t="s">
        <v>58</v>
      </c>
      <c r="I50" s="9" t="s">
        <v>58</v>
      </c>
      <c r="J50" s="14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spans="1:24" ht="10.5" customHeight="1">
      <c r="A51" s="74"/>
      <c r="B51" s="72"/>
      <c r="C51" s="72"/>
      <c r="D51" s="72"/>
      <c r="E51" s="72"/>
      <c r="F51" s="72"/>
      <c r="G51" s="72"/>
      <c r="H51" s="72"/>
      <c r="I51" s="72"/>
      <c r="J51" s="14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 spans="1:24" ht="15.75" customHeight="1">
      <c r="A52" s="6"/>
      <c r="B52" s="110"/>
      <c r="C52" s="7"/>
      <c r="D52" s="7"/>
      <c r="E52" s="7"/>
      <c r="F52" s="7"/>
      <c r="G52" s="7"/>
      <c r="H52" s="7"/>
      <c r="I52" s="7"/>
      <c r="J52" s="14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spans="1:24" ht="15.75" customHeight="1">
      <c r="A53" s="6"/>
      <c r="B53" s="79" t="s">
        <v>371</v>
      </c>
      <c r="C53" s="72"/>
      <c r="D53" s="72"/>
      <c r="E53" s="72"/>
      <c r="F53" s="29"/>
      <c r="G53" s="75"/>
      <c r="H53" s="76"/>
      <c r="I53" s="7"/>
      <c r="J53" s="14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spans="1:24" ht="15.75" customHeight="1">
      <c r="A54" s="6"/>
      <c r="B54" s="80" t="s">
        <v>373</v>
      </c>
      <c r="C54" s="72"/>
      <c r="D54" s="81" t="s">
        <v>374</v>
      </c>
      <c r="E54" s="76"/>
      <c r="F54" s="30"/>
      <c r="G54" s="31" t="s">
        <v>375</v>
      </c>
      <c r="H54" s="31" t="s">
        <v>376</v>
      </c>
      <c r="I54" s="14"/>
      <c r="J54" s="14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spans="1:24" ht="15.75" customHeight="1">
      <c r="A55" s="6"/>
      <c r="B55" s="111" t="s">
        <v>377</v>
      </c>
      <c r="C55" s="32">
        <v>0.2</v>
      </c>
      <c r="D55" s="33" t="s">
        <v>378</v>
      </c>
      <c r="E55" s="34">
        <f>2/C59</f>
        <v>64.102564102564088</v>
      </c>
      <c r="F55" s="35"/>
      <c r="G55" s="34">
        <f>PERCENTILE(B73:C73,0.5)</f>
        <v>141.50532007674863</v>
      </c>
      <c r="H55" s="34">
        <f>PERCENTILE(B73:C73,0.75)</f>
        <v>166.90650619222043</v>
      </c>
      <c r="I55" s="36">
        <v>10</v>
      </c>
      <c r="J55" s="14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1:24" ht="15.75" customHeight="1">
      <c r="A56" s="6"/>
      <c r="B56" s="111" t="s">
        <v>423</v>
      </c>
      <c r="C56" s="32">
        <v>0.8</v>
      </c>
      <c r="D56" s="33" t="s">
        <v>425</v>
      </c>
      <c r="E56" s="34">
        <f>3/C59</f>
        <v>96.153846153846132</v>
      </c>
      <c r="F56" s="35"/>
      <c r="G56" s="34">
        <f>PERCENTILE(B72:C72,0.5)</f>
        <v>117.9211000639572</v>
      </c>
      <c r="H56" s="34">
        <f>PERCENTILE(B72:C72,0.75)</f>
        <v>139.08875516018372</v>
      </c>
      <c r="I56" s="36">
        <v>8</v>
      </c>
      <c r="J56" s="14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1:24" ht="15.75" customHeight="1">
      <c r="A57" s="6"/>
      <c r="B57" s="111" t="s">
        <v>429</v>
      </c>
      <c r="C57" s="32">
        <v>0.3</v>
      </c>
      <c r="D57" s="33" t="s">
        <v>431</v>
      </c>
      <c r="E57" s="34">
        <f>4/C59</f>
        <v>128.20512820512818</v>
      </c>
      <c r="F57" s="35"/>
      <c r="G57" s="34">
        <f t="shared" ref="G57:H57" si="0">G55</f>
        <v>141.50532007674863</v>
      </c>
      <c r="H57" s="34">
        <f t="shared" si="0"/>
        <v>166.90650619222043</v>
      </c>
      <c r="I57" s="36">
        <v>10</v>
      </c>
      <c r="J57" s="14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spans="1:24" ht="15.75" customHeight="1">
      <c r="A58" s="6"/>
      <c r="B58" s="111" t="s">
        <v>432</v>
      </c>
      <c r="C58" s="32">
        <v>0.65</v>
      </c>
      <c r="D58" s="33" t="s">
        <v>434</v>
      </c>
      <c r="E58" s="34">
        <f>5/C59</f>
        <v>160.25641025641022</v>
      </c>
      <c r="F58" s="35"/>
      <c r="G58" s="34">
        <f t="shared" ref="G58:H58" si="1">G56</f>
        <v>117.9211000639572</v>
      </c>
      <c r="H58" s="34">
        <f t="shared" si="1"/>
        <v>139.08875516018372</v>
      </c>
      <c r="I58" s="36">
        <v>8</v>
      </c>
      <c r="J58" s="14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 ht="15.75" customHeight="1">
      <c r="A59" s="6"/>
      <c r="B59" s="111" t="s">
        <v>436</v>
      </c>
      <c r="C59" s="37">
        <f>C55*C56*C57*C58</f>
        <v>3.1200000000000006E-2</v>
      </c>
      <c r="D59" s="33" t="s">
        <v>437</v>
      </c>
      <c r="E59" s="34">
        <f>6/C59</f>
        <v>192.30769230769226</v>
      </c>
      <c r="F59" s="35"/>
      <c r="G59" s="34">
        <f t="shared" ref="G59:H59" si="2">G57</f>
        <v>141.50532007674863</v>
      </c>
      <c r="H59" s="34">
        <f t="shared" si="2"/>
        <v>166.90650619222043</v>
      </c>
      <c r="I59" s="36">
        <v>10</v>
      </c>
      <c r="J59" s="14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spans="1:24" ht="15.75" customHeight="1">
      <c r="A60" s="6"/>
      <c r="B60" s="110"/>
      <c r="C60" s="7"/>
      <c r="D60" s="7"/>
      <c r="E60" s="7"/>
      <c r="F60" s="35"/>
      <c r="G60" s="34">
        <f>PERCENTILE(B70:C70,0.5)</f>
        <v>70.752660038374316</v>
      </c>
      <c r="H60" s="34">
        <f>PERCENTILE(B70:C70,0.75)</f>
        <v>83.453253096110217</v>
      </c>
      <c r="I60" s="36">
        <v>4</v>
      </c>
      <c r="J60" s="14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spans="1:24" ht="15.75" customHeight="1">
      <c r="A61" s="6"/>
      <c r="B61" s="79" t="s">
        <v>438</v>
      </c>
      <c r="C61" s="72"/>
      <c r="D61" s="72"/>
      <c r="E61" s="72"/>
      <c r="F61" s="35"/>
      <c r="G61" s="34">
        <v>25</v>
      </c>
      <c r="H61" s="34">
        <v>50</v>
      </c>
      <c r="I61" s="36">
        <v>0</v>
      </c>
      <c r="J61" s="14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spans="1:24" ht="15.75" customHeight="1">
      <c r="A62" s="6"/>
      <c r="B62" s="80" t="s">
        <v>373</v>
      </c>
      <c r="C62" s="72"/>
      <c r="D62" s="81" t="s">
        <v>374</v>
      </c>
      <c r="E62" s="76"/>
      <c r="F62" s="35"/>
      <c r="G62" s="34">
        <v>25</v>
      </c>
      <c r="H62" s="34">
        <v>50</v>
      </c>
      <c r="I62" s="36">
        <v>0</v>
      </c>
      <c r="J62" s="14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1:24" ht="15.75" customHeight="1">
      <c r="A63" s="6"/>
      <c r="B63" s="111" t="s">
        <v>377</v>
      </c>
      <c r="C63" s="32">
        <v>0.3</v>
      </c>
      <c r="D63" s="33" t="s">
        <v>378</v>
      </c>
      <c r="E63" s="34">
        <f>2/C67</f>
        <v>30.234315948601662</v>
      </c>
      <c r="F63" s="7"/>
      <c r="G63" s="7"/>
      <c r="H63" s="7"/>
      <c r="I63" s="7"/>
      <c r="J63" s="14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1:24" ht="15.75" customHeight="1">
      <c r="A64" s="6"/>
      <c r="B64" s="111" t="s">
        <v>423</v>
      </c>
      <c r="C64" s="32">
        <v>0.9</v>
      </c>
      <c r="D64" s="33" t="s">
        <v>425</v>
      </c>
      <c r="E64" s="34">
        <f>3/C67</f>
        <v>45.351473922902493</v>
      </c>
      <c r="F64" s="29"/>
      <c r="G64" s="75"/>
      <c r="H64" s="76"/>
      <c r="I64" s="7"/>
      <c r="J64" s="14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spans="1:24" ht="15.75" customHeight="1">
      <c r="A65" s="6"/>
      <c r="B65" s="111" t="s">
        <v>429</v>
      </c>
      <c r="C65" s="32">
        <v>0.35</v>
      </c>
      <c r="D65" s="33" t="s">
        <v>431</v>
      </c>
      <c r="E65" s="34">
        <f>4/C67</f>
        <v>60.468631897203323</v>
      </c>
      <c r="F65" s="38"/>
      <c r="G65" s="39" t="s">
        <v>441</v>
      </c>
      <c r="H65" s="39" t="s">
        <v>315</v>
      </c>
      <c r="I65" s="7"/>
      <c r="J65" s="14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spans="1:24" ht="15.75" customHeight="1">
      <c r="A66" s="6"/>
      <c r="B66" s="111" t="s">
        <v>432</v>
      </c>
      <c r="C66" s="32">
        <v>0.7</v>
      </c>
      <c r="D66" s="33" t="s">
        <v>434</v>
      </c>
      <c r="E66" s="34">
        <f>5/C67</f>
        <v>75.585789871504161</v>
      </c>
      <c r="F66" s="40"/>
      <c r="G66" s="77">
        <f>SUM(G17:G24)+SUM(G27:G32)</f>
        <v>0</v>
      </c>
      <c r="H66" s="77">
        <f>SUM(G34:G50)</f>
        <v>0</v>
      </c>
      <c r="I66" s="7"/>
      <c r="J66" s="14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spans="1:24" ht="15.75" customHeight="1">
      <c r="A67" s="6"/>
      <c r="B67" s="111" t="s">
        <v>436</v>
      </c>
      <c r="C67" s="37">
        <f>C63*C64*C65*C66</f>
        <v>6.615E-2</v>
      </c>
      <c r="D67" s="33" t="s">
        <v>437</v>
      </c>
      <c r="E67" s="34">
        <f>6/C67</f>
        <v>90.702947845804985</v>
      </c>
      <c r="F67" s="40"/>
      <c r="G67" s="78"/>
      <c r="H67" s="78"/>
      <c r="I67" s="7"/>
      <c r="J67" s="14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spans="1:24" ht="15.75" customHeight="1">
      <c r="A68" s="6"/>
      <c r="B68" s="110"/>
      <c r="C68" s="14"/>
      <c r="D68" s="14"/>
      <c r="E68" s="14"/>
      <c r="F68" s="7"/>
      <c r="G68" s="7"/>
      <c r="H68" s="7"/>
      <c r="I68" s="7"/>
      <c r="J68" s="14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spans="1:24" ht="15.75" customHeight="1">
      <c r="A69" s="6"/>
      <c r="B69" s="112">
        <f t="shared" ref="B69:B73" si="3">E63</f>
        <v>30.234315948601662</v>
      </c>
      <c r="C69" s="42">
        <f t="shared" ref="C69:C73" si="4">E55</f>
        <v>64.102564102564088</v>
      </c>
      <c r="D69" s="43">
        <v>2</v>
      </c>
      <c r="E69" s="14"/>
      <c r="F69" s="7"/>
      <c r="G69" s="7"/>
      <c r="H69" s="7"/>
      <c r="I69" s="7"/>
      <c r="J69" s="14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spans="1:24" ht="15.75" customHeight="1">
      <c r="A70" s="6"/>
      <c r="B70" s="112">
        <f t="shared" si="3"/>
        <v>45.351473922902493</v>
      </c>
      <c r="C70" s="42">
        <f t="shared" si="4"/>
        <v>96.153846153846132</v>
      </c>
      <c r="D70" s="43">
        <v>3</v>
      </c>
      <c r="E70" s="14"/>
      <c r="F70" s="7"/>
      <c r="G70" s="7"/>
      <c r="H70" s="7"/>
      <c r="I70" s="7"/>
      <c r="J70" s="14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spans="1:24" ht="15.75" customHeight="1">
      <c r="A71" s="6"/>
      <c r="B71" s="112">
        <f t="shared" si="3"/>
        <v>60.468631897203323</v>
      </c>
      <c r="C71" s="42">
        <f t="shared" si="4"/>
        <v>128.20512820512818</v>
      </c>
      <c r="D71" s="43">
        <v>4</v>
      </c>
      <c r="E71" s="14"/>
      <c r="F71" s="7"/>
      <c r="G71" s="7"/>
      <c r="H71" s="7"/>
      <c r="I71" s="7"/>
      <c r="J71" s="14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1:24" ht="15.75" customHeight="1">
      <c r="A72" s="6"/>
      <c r="B72" s="112">
        <f t="shared" si="3"/>
        <v>75.585789871504161</v>
      </c>
      <c r="C72" s="42">
        <f t="shared" si="4"/>
        <v>160.25641025641022</v>
      </c>
      <c r="D72" s="26"/>
      <c r="E72" s="14"/>
      <c r="F72" s="7"/>
      <c r="G72" s="7"/>
      <c r="H72" s="7"/>
      <c r="I72" s="7"/>
      <c r="J72" s="14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spans="1:24" ht="15.75" customHeight="1">
      <c r="A73" s="6"/>
      <c r="B73" s="112">
        <f t="shared" si="3"/>
        <v>90.702947845804985</v>
      </c>
      <c r="C73" s="42">
        <f t="shared" si="4"/>
        <v>192.30769230769226</v>
      </c>
      <c r="D73" s="43">
        <v>6</v>
      </c>
      <c r="E73" s="14"/>
      <c r="F73" s="7"/>
      <c r="G73" s="7"/>
      <c r="H73" s="7"/>
      <c r="I73" s="7"/>
      <c r="J73" s="14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spans="1:24" ht="15.75" customHeight="1">
      <c r="A74" s="6"/>
      <c r="B74" s="110"/>
      <c r="C74" s="14"/>
      <c r="D74" s="14"/>
      <c r="E74" s="14"/>
      <c r="F74" s="7"/>
      <c r="G74" s="7"/>
      <c r="H74" s="7"/>
      <c r="I74" s="7"/>
      <c r="J74" s="14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spans="1:24" ht="15.75" customHeight="1">
      <c r="A75" s="6"/>
      <c r="B75" s="110"/>
      <c r="C75" s="14"/>
      <c r="D75" s="14"/>
      <c r="E75" s="14"/>
      <c r="F75" s="7"/>
      <c r="G75" s="7"/>
      <c r="H75" s="7"/>
      <c r="I75" s="7"/>
      <c r="J75" s="14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spans="1:24" ht="15.75" customHeight="1">
      <c r="A76" s="6"/>
      <c r="B76" s="110"/>
      <c r="C76" s="14"/>
      <c r="D76" s="14"/>
      <c r="E76" s="14"/>
      <c r="F76" s="7"/>
      <c r="G76" s="7"/>
      <c r="H76" s="7"/>
      <c r="I76" s="7"/>
      <c r="J76" s="14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spans="1:24" ht="15.75" customHeight="1">
      <c r="A77" s="6"/>
      <c r="B77" s="110"/>
      <c r="C77" s="14"/>
      <c r="D77" s="14"/>
      <c r="E77" s="14"/>
      <c r="F77" s="7"/>
      <c r="G77" s="7"/>
      <c r="H77" s="7"/>
      <c r="I77" s="7"/>
      <c r="J77" s="14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spans="1:24" ht="15.75" customHeight="1">
      <c r="A78" s="6"/>
      <c r="B78" s="110"/>
      <c r="C78" s="7"/>
      <c r="D78" s="7"/>
      <c r="E78" s="7"/>
      <c r="F78" s="7"/>
      <c r="G78" s="7"/>
      <c r="H78" s="7"/>
      <c r="I78" s="7"/>
      <c r="J78" s="14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spans="1:24" ht="15.75" customHeight="1">
      <c r="A79" s="6"/>
      <c r="B79" s="110"/>
      <c r="C79" s="7"/>
      <c r="D79" s="7"/>
      <c r="E79" s="7"/>
      <c r="F79" s="7"/>
      <c r="G79" s="7"/>
      <c r="H79" s="7"/>
      <c r="I79" s="7"/>
      <c r="J79" s="14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spans="1:24" ht="15.75" customHeight="1">
      <c r="A80" s="6"/>
      <c r="B80" s="110"/>
      <c r="C80" s="7"/>
      <c r="D80" s="7"/>
      <c r="E80" s="7"/>
      <c r="F80" s="7"/>
      <c r="G80" s="7"/>
      <c r="H80" s="7"/>
      <c r="I80" s="7"/>
      <c r="J80" s="14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spans="1:24" ht="15.75" customHeight="1">
      <c r="A81" s="6"/>
      <c r="B81" s="110"/>
      <c r="C81" s="7"/>
      <c r="D81" s="7"/>
      <c r="E81" s="7"/>
      <c r="F81" s="7"/>
      <c r="G81" s="7"/>
      <c r="H81" s="7"/>
      <c r="I81" s="7"/>
      <c r="J81" s="14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spans="1:24" ht="15.75" customHeight="1">
      <c r="A82" s="6"/>
      <c r="B82" s="110"/>
      <c r="C82" s="7"/>
      <c r="D82" s="7"/>
      <c r="E82" s="7"/>
      <c r="F82" s="7"/>
      <c r="G82" s="7"/>
      <c r="H82" s="7"/>
      <c r="I82" s="7"/>
      <c r="J82" s="14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spans="1:24" ht="15.75" customHeight="1">
      <c r="A83" s="6"/>
      <c r="B83" s="110"/>
      <c r="C83" s="7"/>
      <c r="D83" s="7"/>
      <c r="E83" s="7"/>
      <c r="F83" s="7"/>
      <c r="G83" s="7"/>
      <c r="H83" s="7"/>
      <c r="I83" s="7"/>
      <c r="J83" s="14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spans="1:24" ht="15.75" customHeight="1">
      <c r="A84" s="6"/>
      <c r="B84" s="110"/>
      <c r="C84" s="7"/>
      <c r="D84" s="7"/>
      <c r="E84" s="7"/>
      <c r="F84" s="7"/>
      <c r="G84" s="7"/>
      <c r="H84" s="7"/>
      <c r="I84" s="7"/>
      <c r="J84" s="14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spans="1:24" ht="15.75" customHeight="1">
      <c r="A85" s="6"/>
      <c r="B85" s="110"/>
      <c r="C85" s="7"/>
      <c r="D85" s="7"/>
      <c r="E85" s="7"/>
      <c r="F85" s="7"/>
      <c r="G85" s="7"/>
      <c r="H85" s="7"/>
      <c r="I85" s="7"/>
      <c r="J85" s="14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spans="1:24" ht="15.75" customHeight="1">
      <c r="A86" s="6"/>
      <c r="B86" s="110"/>
      <c r="C86" s="7"/>
      <c r="D86" s="7"/>
      <c r="E86" s="7"/>
      <c r="F86" s="7"/>
      <c r="G86" s="7"/>
      <c r="H86" s="7"/>
      <c r="I86" s="7"/>
      <c r="J86" s="14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spans="1:24" ht="15.75" customHeight="1">
      <c r="A87" s="6"/>
      <c r="B87" s="110"/>
      <c r="C87" s="7"/>
      <c r="D87" s="7"/>
      <c r="E87" s="7"/>
      <c r="F87" s="7"/>
      <c r="G87" s="7"/>
      <c r="H87" s="7"/>
      <c r="I87" s="7"/>
      <c r="J87" s="14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spans="1:24" ht="15.75" customHeight="1">
      <c r="A88" s="6"/>
      <c r="B88" s="110"/>
      <c r="C88" s="7"/>
      <c r="D88" s="7"/>
      <c r="E88" s="7"/>
      <c r="F88" s="7"/>
      <c r="G88" s="7"/>
      <c r="H88" s="7"/>
      <c r="I88" s="7"/>
      <c r="J88" s="14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spans="1:24" ht="15.75" customHeight="1">
      <c r="A89" s="6"/>
      <c r="B89" s="110"/>
      <c r="C89" s="7"/>
      <c r="D89" s="7"/>
      <c r="E89" s="7"/>
      <c r="F89" s="7"/>
      <c r="G89" s="7"/>
      <c r="H89" s="7"/>
      <c r="I89" s="7"/>
      <c r="J89" s="14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spans="1:24" ht="15.75" customHeight="1">
      <c r="A90" s="6"/>
      <c r="B90" s="110"/>
      <c r="C90" s="7"/>
      <c r="D90" s="7"/>
      <c r="E90" s="7"/>
      <c r="F90" s="7"/>
      <c r="G90" s="7"/>
      <c r="H90" s="7"/>
      <c r="I90" s="7"/>
      <c r="J90" s="14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spans="1:24" ht="15.75" customHeight="1">
      <c r="A91" s="6"/>
      <c r="B91" s="110"/>
      <c r="C91" s="7"/>
      <c r="D91" s="7"/>
      <c r="E91" s="7"/>
      <c r="F91" s="7"/>
      <c r="G91" s="7"/>
      <c r="H91" s="7"/>
      <c r="I91" s="7"/>
      <c r="J91" s="14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1:24" ht="15.75" customHeight="1">
      <c r="A92" s="6"/>
      <c r="B92" s="110"/>
      <c r="C92" s="7"/>
      <c r="D92" s="7"/>
      <c r="E92" s="7"/>
      <c r="F92" s="7"/>
      <c r="G92" s="7"/>
      <c r="H92" s="7"/>
      <c r="I92" s="7"/>
      <c r="J92" s="14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spans="1:24" ht="15.75" customHeight="1">
      <c r="A93" s="6"/>
      <c r="B93" s="110"/>
      <c r="C93" s="7"/>
      <c r="D93" s="7"/>
      <c r="E93" s="7"/>
      <c r="F93" s="7"/>
      <c r="G93" s="7"/>
      <c r="H93" s="7"/>
      <c r="I93" s="7"/>
      <c r="J93" s="14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spans="1:24" ht="15.75" customHeight="1">
      <c r="A94" s="6"/>
      <c r="B94" s="110"/>
      <c r="C94" s="7"/>
      <c r="D94" s="7"/>
      <c r="E94" s="7"/>
      <c r="F94" s="7"/>
      <c r="G94" s="7"/>
      <c r="H94" s="7"/>
      <c r="I94" s="7"/>
      <c r="J94" s="14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spans="1:24" ht="15.75" customHeight="1">
      <c r="A95" s="6"/>
      <c r="B95" s="110"/>
      <c r="C95" s="7"/>
      <c r="D95" s="7"/>
      <c r="E95" s="7"/>
      <c r="F95" s="7"/>
      <c r="G95" s="7"/>
      <c r="H95" s="7"/>
      <c r="I95" s="7"/>
      <c r="J95" s="14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spans="1:24" ht="15.75" customHeight="1">
      <c r="A96" s="6"/>
      <c r="B96" s="110"/>
      <c r="C96" s="7"/>
      <c r="D96" s="7"/>
      <c r="E96" s="7"/>
      <c r="F96" s="7"/>
      <c r="G96" s="7"/>
      <c r="H96" s="7"/>
      <c r="I96" s="7"/>
      <c r="J96" s="14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spans="1:24" ht="15.75" customHeight="1">
      <c r="A97" s="6"/>
      <c r="B97" s="110"/>
      <c r="C97" s="7"/>
      <c r="D97" s="7"/>
      <c r="E97" s="7"/>
      <c r="F97" s="7"/>
      <c r="G97" s="7"/>
      <c r="H97" s="7"/>
      <c r="I97" s="7"/>
      <c r="J97" s="14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spans="1:24" ht="15.75" customHeight="1">
      <c r="A98" s="6"/>
      <c r="B98" s="110"/>
      <c r="C98" s="7"/>
      <c r="D98" s="7"/>
      <c r="E98" s="7"/>
      <c r="F98" s="7"/>
      <c r="G98" s="7"/>
      <c r="H98" s="7"/>
      <c r="I98" s="7"/>
      <c r="J98" s="14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spans="1:24" ht="15.75" customHeight="1">
      <c r="A99" s="6"/>
      <c r="B99" s="110"/>
      <c r="C99" s="7"/>
      <c r="D99" s="7"/>
      <c r="E99" s="7"/>
      <c r="F99" s="7"/>
      <c r="G99" s="7"/>
      <c r="H99" s="7"/>
      <c r="I99" s="7"/>
      <c r="J99" s="14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spans="1:24" ht="15.75" customHeight="1">
      <c r="A100" s="6"/>
      <c r="B100" s="110"/>
      <c r="C100" s="7"/>
      <c r="D100" s="7"/>
      <c r="E100" s="7"/>
      <c r="F100" s="7"/>
      <c r="G100" s="7"/>
      <c r="H100" s="7"/>
      <c r="I100" s="7"/>
      <c r="J100" s="14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spans="1:24" ht="15.75" customHeight="1">
      <c r="A101" s="6"/>
      <c r="B101" s="110"/>
      <c r="C101" s="7"/>
      <c r="D101" s="7"/>
      <c r="E101" s="7"/>
      <c r="F101" s="7"/>
      <c r="G101" s="7"/>
      <c r="H101" s="7"/>
      <c r="I101" s="7"/>
      <c r="J101" s="14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spans="1:24" ht="15.75" customHeight="1">
      <c r="A102" s="6"/>
      <c r="B102" s="110"/>
      <c r="C102" s="7"/>
      <c r="D102" s="7"/>
      <c r="E102" s="7"/>
      <c r="F102" s="7"/>
      <c r="G102" s="7"/>
      <c r="H102" s="7"/>
      <c r="I102" s="7"/>
      <c r="J102" s="14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spans="1:24" ht="15.75" customHeight="1">
      <c r="A103" s="6"/>
      <c r="B103" s="110"/>
      <c r="C103" s="7"/>
      <c r="D103" s="7"/>
      <c r="E103" s="7"/>
      <c r="F103" s="7"/>
      <c r="G103" s="7"/>
      <c r="H103" s="7"/>
      <c r="I103" s="7"/>
      <c r="J103" s="14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spans="1:24" ht="15.75" customHeight="1">
      <c r="A104" s="6"/>
      <c r="B104" s="110"/>
      <c r="C104" s="7"/>
      <c r="D104" s="7"/>
      <c r="E104" s="7"/>
      <c r="F104" s="7"/>
      <c r="G104" s="7"/>
      <c r="H104" s="7"/>
      <c r="I104" s="7"/>
      <c r="J104" s="14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spans="1:24" ht="15.75" customHeight="1">
      <c r="A105" s="6"/>
      <c r="B105" s="110"/>
      <c r="C105" s="7"/>
      <c r="D105" s="7"/>
      <c r="E105" s="7"/>
      <c r="F105" s="7"/>
      <c r="G105" s="7"/>
      <c r="H105" s="7"/>
      <c r="I105" s="7"/>
      <c r="J105" s="14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spans="1:24" ht="15.75" customHeight="1">
      <c r="A106" s="6"/>
      <c r="B106" s="110"/>
      <c r="C106" s="7"/>
      <c r="D106" s="7"/>
      <c r="E106" s="7"/>
      <c r="F106" s="7"/>
      <c r="G106" s="7"/>
      <c r="H106" s="7"/>
      <c r="I106" s="7"/>
      <c r="J106" s="14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spans="1:24" ht="15.75" customHeight="1">
      <c r="A107" s="6"/>
      <c r="B107" s="110"/>
      <c r="C107" s="7"/>
      <c r="D107" s="7"/>
      <c r="E107" s="7"/>
      <c r="F107" s="7"/>
      <c r="G107" s="7"/>
      <c r="H107" s="7"/>
      <c r="I107" s="7"/>
      <c r="J107" s="14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spans="1:24" ht="15.75" customHeight="1">
      <c r="A108" s="6"/>
      <c r="B108" s="110"/>
      <c r="C108" s="7"/>
      <c r="D108" s="7"/>
      <c r="E108" s="7"/>
      <c r="F108" s="7"/>
      <c r="G108" s="7"/>
      <c r="H108" s="7"/>
      <c r="I108" s="7"/>
      <c r="J108" s="14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spans="1:24" ht="15.75" customHeight="1">
      <c r="A109" s="6"/>
      <c r="B109" s="110"/>
      <c r="C109" s="7"/>
      <c r="D109" s="7"/>
      <c r="E109" s="7"/>
      <c r="F109" s="7"/>
      <c r="G109" s="7"/>
      <c r="H109" s="7"/>
      <c r="I109" s="7"/>
      <c r="J109" s="14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spans="1:24" ht="15.75" customHeight="1">
      <c r="A110" s="6"/>
      <c r="B110" s="110"/>
      <c r="C110" s="7"/>
      <c r="D110" s="7"/>
      <c r="E110" s="7"/>
      <c r="F110" s="7"/>
      <c r="G110" s="7"/>
      <c r="H110" s="7"/>
      <c r="I110" s="7"/>
      <c r="J110" s="14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spans="1:24" ht="15.75" customHeight="1">
      <c r="A111" s="6"/>
      <c r="B111" s="110"/>
      <c r="C111" s="7"/>
      <c r="D111" s="7"/>
      <c r="E111" s="7"/>
      <c r="F111" s="7"/>
      <c r="G111" s="7"/>
      <c r="H111" s="7"/>
      <c r="I111" s="7"/>
      <c r="J111" s="14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spans="1:24" ht="15.75" customHeight="1">
      <c r="A112" s="6"/>
      <c r="B112" s="110"/>
      <c r="C112" s="7"/>
      <c r="D112" s="7"/>
      <c r="E112" s="7"/>
      <c r="F112" s="7"/>
      <c r="G112" s="7"/>
      <c r="H112" s="7"/>
      <c r="I112" s="7"/>
      <c r="J112" s="14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spans="1:24" ht="15.75" customHeight="1">
      <c r="A113" s="6"/>
      <c r="B113" s="110"/>
      <c r="C113" s="7"/>
      <c r="D113" s="7"/>
      <c r="E113" s="7"/>
      <c r="F113" s="7"/>
      <c r="G113" s="7"/>
      <c r="H113" s="7"/>
      <c r="I113" s="7"/>
      <c r="J113" s="14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spans="1:24" ht="15.75" customHeight="1">
      <c r="A114" s="6"/>
      <c r="B114" s="110"/>
      <c r="C114" s="7"/>
      <c r="D114" s="7"/>
      <c r="E114" s="7"/>
      <c r="F114" s="7"/>
      <c r="G114" s="7"/>
      <c r="H114" s="7"/>
      <c r="I114" s="7"/>
      <c r="J114" s="14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spans="1:24" ht="15.75" customHeight="1">
      <c r="A115" s="6"/>
      <c r="B115" s="110"/>
      <c r="C115" s="7"/>
      <c r="D115" s="7"/>
      <c r="E115" s="7"/>
      <c r="F115" s="7"/>
      <c r="G115" s="7"/>
      <c r="H115" s="7"/>
      <c r="I115" s="7"/>
      <c r="J115" s="14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spans="1:24" ht="15.75" customHeight="1">
      <c r="A116" s="6"/>
      <c r="B116" s="110"/>
      <c r="C116" s="7"/>
      <c r="D116" s="7"/>
      <c r="E116" s="7"/>
      <c r="F116" s="7"/>
      <c r="G116" s="7"/>
      <c r="H116" s="7"/>
      <c r="I116" s="7"/>
      <c r="J116" s="14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spans="1:24" ht="15.75" customHeight="1">
      <c r="A117" s="6"/>
      <c r="B117" s="110"/>
      <c r="C117" s="7"/>
      <c r="D117" s="7"/>
      <c r="E117" s="7"/>
      <c r="F117" s="7"/>
      <c r="G117" s="7"/>
      <c r="H117" s="7"/>
      <c r="I117" s="7"/>
      <c r="J117" s="14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spans="1:24" ht="15.75" customHeight="1">
      <c r="A118" s="6"/>
      <c r="B118" s="110"/>
      <c r="C118" s="7"/>
      <c r="D118" s="7"/>
      <c r="E118" s="7"/>
      <c r="F118" s="7"/>
      <c r="G118" s="7"/>
      <c r="H118" s="7"/>
      <c r="I118" s="7"/>
      <c r="J118" s="14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spans="1:24" ht="15.75" customHeight="1">
      <c r="A119" s="6"/>
      <c r="B119" s="110"/>
      <c r="C119" s="7"/>
      <c r="D119" s="7"/>
      <c r="E119" s="7"/>
      <c r="F119" s="7"/>
      <c r="G119" s="7"/>
      <c r="H119" s="7"/>
      <c r="I119" s="7"/>
      <c r="J119" s="14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spans="1:24" ht="15.75" customHeight="1">
      <c r="A120" s="6"/>
      <c r="B120" s="110"/>
      <c r="C120" s="7"/>
      <c r="D120" s="7"/>
      <c r="E120" s="7"/>
      <c r="F120" s="7"/>
      <c r="G120" s="7"/>
      <c r="H120" s="7"/>
      <c r="I120" s="7"/>
      <c r="J120" s="14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spans="1:24" ht="15.75" customHeight="1">
      <c r="A121" s="6"/>
      <c r="B121" s="110"/>
      <c r="C121" s="7"/>
      <c r="D121" s="7"/>
      <c r="E121" s="7"/>
      <c r="F121" s="7"/>
      <c r="G121" s="7"/>
      <c r="H121" s="7"/>
      <c r="I121" s="7"/>
      <c r="J121" s="14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spans="1:24" ht="15.75" customHeight="1">
      <c r="A122" s="6"/>
      <c r="B122" s="110"/>
      <c r="C122" s="7"/>
      <c r="D122" s="7"/>
      <c r="E122" s="7"/>
      <c r="F122" s="7"/>
      <c r="G122" s="7"/>
      <c r="H122" s="7"/>
      <c r="I122" s="7"/>
      <c r="J122" s="14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spans="1:24" ht="15.75" customHeight="1">
      <c r="A123" s="6"/>
      <c r="B123" s="110"/>
      <c r="C123" s="7"/>
      <c r="D123" s="7"/>
      <c r="E123" s="7"/>
      <c r="F123" s="7"/>
      <c r="G123" s="7"/>
      <c r="H123" s="7"/>
      <c r="I123" s="7"/>
      <c r="J123" s="14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spans="1:24" ht="15.75" customHeight="1">
      <c r="A124" s="6"/>
      <c r="B124" s="110"/>
      <c r="C124" s="7"/>
      <c r="D124" s="7"/>
      <c r="E124" s="7"/>
      <c r="F124" s="7"/>
      <c r="G124" s="7"/>
      <c r="H124" s="7"/>
      <c r="I124" s="7"/>
      <c r="J124" s="14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spans="1:24" ht="15.75" customHeight="1">
      <c r="A125" s="6"/>
      <c r="B125" s="110"/>
      <c r="C125" s="7"/>
      <c r="D125" s="7"/>
      <c r="E125" s="7"/>
      <c r="F125" s="7"/>
      <c r="G125" s="7"/>
      <c r="H125" s="7"/>
      <c r="I125" s="7"/>
      <c r="J125" s="14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spans="1:24" ht="15.75" customHeight="1">
      <c r="A126" s="6"/>
      <c r="B126" s="110"/>
      <c r="C126" s="7"/>
      <c r="D126" s="7"/>
      <c r="E126" s="7"/>
      <c r="F126" s="7"/>
      <c r="G126" s="7"/>
      <c r="H126" s="7"/>
      <c r="I126" s="7"/>
      <c r="J126" s="14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spans="1:24" ht="15.75" customHeight="1">
      <c r="A127" s="6"/>
      <c r="B127" s="110"/>
      <c r="C127" s="7"/>
      <c r="D127" s="7"/>
      <c r="E127" s="7"/>
      <c r="F127" s="7"/>
      <c r="G127" s="7"/>
      <c r="H127" s="7"/>
      <c r="I127" s="7"/>
      <c r="J127" s="14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spans="1:24" ht="15.75" customHeight="1">
      <c r="A128" s="6"/>
      <c r="B128" s="110"/>
      <c r="C128" s="7"/>
      <c r="D128" s="7"/>
      <c r="E128" s="7"/>
      <c r="F128" s="7"/>
      <c r="G128" s="7"/>
      <c r="H128" s="7"/>
      <c r="I128" s="7"/>
      <c r="J128" s="14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spans="1:24" ht="15.75" customHeight="1">
      <c r="A129" s="6"/>
      <c r="B129" s="110"/>
      <c r="C129" s="7"/>
      <c r="D129" s="7"/>
      <c r="E129" s="7"/>
      <c r="F129" s="7"/>
      <c r="G129" s="7"/>
      <c r="H129" s="7"/>
      <c r="I129" s="7"/>
      <c r="J129" s="14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spans="1:24" ht="15.75" customHeight="1">
      <c r="A130" s="6"/>
      <c r="B130" s="110"/>
      <c r="C130" s="7"/>
      <c r="D130" s="7"/>
      <c r="E130" s="7"/>
      <c r="F130" s="7"/>
      <c r="G130" s="7"/>
      <c r="H130" s="7"/>
      <c r="I130" s="7"/>
      <c r="J130" s="14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spans="1:24" ht="15.75" customHeight="1">
      <c r="A131" s="6"/>
      <c r="B131" s="110"/>
      <c r="C131" s="7"/>
      <c r="D131" s="7"/>
      <c r="E131" s="7"/>
      <c r="F131" s="7"/>
      <c r="G131" s="7"/>
      <c r="H131" s="7"/>
      <c r="I131" s="7"/>
      <c r="J131" s="14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spans="1:24" ht="15.75" customHeight="1">
      <c r="A132" s="6"/>
      <c r="B132" s="110"/>
      <c r="C132" s="7"/>
      <c r="D132" s="7"/>
      <c r="E132" s="7"/>
      <c r="F132" s="7"/>
      <c r="G132" s="7"/>
      <c r="H132" s="7"/>
      <c r="I132" s="7"/>
      <c r="J132" s="14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spans="1:24" ht="15.75" customHeight="1">
      <c r="A133" s="6"/>
      <c r="B133" s="110"/>
      <c r="C133" s="7"/>
      <c r="D133" s="7"/>
      <c r="E133" s="7"/>
      <c r="F133" s="7"/>
      <c r="G133" s="7"/>
      <c r="H133" s="7"/>
      <c r="I133" s="7"/>
      <c r="J133" s="14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spans="1:24" ht="15.75" customHeight="1">
      <c r="A134" s="6"/>
      <c r="B134" s="110"/>
      <c r="C134" s="7"/>
      <c r="D134" s="7"/>
      <c r="E134" s="7"/>
      <c r="F134" s="7"/>
      <c r="G134" s="7"/>
      <c r="H134" s="7"/>
      <c r="I134" s="7"/>
      <c r="J134" s="14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spans="1:24" ht="15.75" customHeight="1">
      <c r="A135" s="6"/>
      <c r="B135" s="110"/>
      <c r="C135" s="7"/>
      <c r="D135" s="7"/>
      <c r="E135" s="7"/>
      <c r="F135" s="7"/>
      <c r="G135" s="7"/>
      <c r="H135" s="7"/>
      <c r="I135" s="7"/>
      <c r="J135" s="14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spans="1:24" ht="15.75" customHeight="1">
      <c r="A136" s="6"/>
      <c r="B136" s="110"/>
      <c r="C136" s="7"/>
      <c r="D136" s="7"/>
      <c r="E136" s="7"/>
      <c r="F136" s="7"/>
      <c r="G136" s="7"/>
      <c r="H136" s="7"/>
      <c r="I136" s="7"/>
      <c r="J136" s="14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spans="1:24" ht="15.75" customHeight="1">
      <c r="A137" s="6"/>
      <c r="B137" s="110"/>
      <c r="C137" s="7"/>
      <c r="D137" s="7"/>
      <c r="E137" s="7"/>
      <c r="F137" s="7"/>
      <c r="G137" s="7"/>
      <c r="H137" s="7"/>
      <c r="I137" s="7"/>
      <c r="J137" s="14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spans="1:24" ht="15.75" customHeight="1">
      <c r="A138" s="6"/>
      <c r="B138" s="110"/>
      <c r="C138" s="7"/>
      <c r="D138" s="7"/>
      <c r="E138" s="7"/>
      <c r="F138" s="7"/>
      <c r="G138" s="7"/>
      <c r="H138" s="7"/>
      <c r="I138" s="7"/>
      <c r="J138" s="14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spans="1:24" ht="15.75" customHeight="1">
      <c r="A139" s="6"/>
      <c r="B139" s="110"/>
      <c r="C139" s="7"/>
      <c r="D139" s="7"/>
      <c r="E139" s="7"/>
      <c r="F139" s="7"/>
      <c r="G139" s="7"/>
      <c r="H139" s="7"/>
      <c r="I139" s="7"/>
      <c r="J139" s="14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spans="1:24" ht="15.75" customHeight="1">
      <c r="A140" s="6"/>
      <c r="B140" s="110"/>
      <c r="C140" s="7"/>
      <c r="D140" s="7"/>
      <c r="E140" s="7"/>
      <c r="F140" s="7"/>
      <c r="G140" s="7"/>
      <c r="H140" s="7"/>
      <c r="I140" s="7"/>
      <c r="J140" s="14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spans="1:24" ht="15.75" customHeight="1">
      <c r="A141" s="6"/>
      <c r="B141" s="110"/>
      <c r="C141" s="7"/>
      <c r="D141" s="7"/>
      <c r="E141" s="7"/>
      <c r="F141" s="7"/>
      <c r="G141" s="7"/>
      <c r="H141" s="7"/>
      <c r="I141" s="7"/>
      <c r="J141" s="14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spans="1:24" ht="15.75" customHeight="1">
      <c r="A142" s="6"/>
      <c r="B142" s="110"/>
      <c r="C142" s="7"/>
      <c r="D142" s="7"/>
      <c r="E142" s="7"/>
      <c r="F142" s="7"/>
      <c r="G142" s="7"/>
      <c r="H142" s="7"/>
      <c r="I142" s="7"/>
      <c r="J142" s="14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spans="1:24" ht="15.75" customHeight="1">
      <c r="A143" s="6"/>
      <c r="B143" s="110"/>
      <c r="C143" s="7"/>
      <c r="D143" s="7"/>
      <c r="E143" s="7"/>
      <c r="F143" s="7"/>
      <c r="G143" s="7"/>
      <c r="H143" s="7"/>
      <c r="I143" s="7"/>
      <c r="J143" s="14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spans="1:24" ht="15.75" customHeight="1">
      <c r="A144" s="6"/>
      <c r="B144" s="110"/>
      <c r="C144" s="7"/>
      <c r="D144" s="7"/>
      <c r="E144" s="7"/>
      <c r="F144" s="7"/>
      <c r="G144" s="7"/>
      <c r="H144" s="7"/>
      <c r="I144" s="7"/>
      <c r="J144" s="14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spans="1:24" ht="15.75" customHeight="1">
      <c r="A145" s="6"/>
      <c r="B145" s="110"/>
      <c r="C145" s="7"/>
      <c r="D145" s="7"/>
      <c r="E145" s="7"/>
      <c r="F145" s="7"/>
      <c r="G145" s="7"/>
      <c r="H145" s="7"/>
      <c r="I145" s="7"/>
      <c r="J145" s="14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spans="1:24" ht="15.75" customHeight="1">
      <c r="A146" s="6"/>
      <c r="B146" s="110"/>
      <c r="C146" s="7"/>
      <c r="D146" s="7"/>
      <c r="E146" s="7"/>
      <c r="F146" s="7"/>
      <c r="G146" s="7"/>
      <c r="H146" s="7"/>
      <c r="I146" s="7"/>
      <c r="J146" s="14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spans="1:24" ht="15.75" customHeight="1">
      <c r="A147" s="6"/>
      <c r="B147" s="110"/>
      <c r="C147" s="7"/>
      <c r="D147" s="7"/>
      <c r="E147" s="7"/>
      <c r="F147" s="7"/>
      <c r="G147" s="7"/>
      <c r="H147" s="7"/>
      <c r="I147" s="7"/>
      <c r="J147" s="14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spans="1:24" ht="15.75" customHeight="1">
      <c r="A148" s="6"/>
      <c r="B148" s="110"/>
      <c r="C148" s="7"/>
      <c r="D148" s="7"/>
      <c r="E148" s="7"/>
      <c r="F148" s="7"/>
      <c r="G148" s="7"/>
      <c r="H148" s="7"/>
      <c r="I148" s="7"/>
      <c r="J148" s="14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spans="1:24" ht="15.75" customHeight="1">
      <c r="A149" s="6"/>
      <c r="B149" s="110"/>
      <c r="C149" s="7"/>
      <c r="D149" s="7"/>
      <c r="E149" s="7"/>
      <c r="F149" s="7"/>
      <c r="G149" s="7"/>
      <c r="H149" s="7"/>
      <c r="I149" s="7"/>
      <c r="J149" s="14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spans="1:24" ht="15.75" customHeight="1">
      <c r="A150" s="6"/>
      <c r="B150" s="110"/>
      <c r="C150" s="7"/>
      <c r="D150" s="7"/>
      <c r="E150" s="7"/>
      <c r="F150" s="7"/>
      <c r="G150" s="7"/>
      <c r="H150" s="7"/>
      <c r="I150" s="7"/>
      <c r="J150" s="14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spans="1:24" ht="15.75" customHeight="1">
      <c r="A151" s="6"/>
      <c r="B151" s="110"/>
      <c r="C151" s="7"/>
      <c r="D151" s="7"/>
      <c r="E151" s="7"/>
      <c r="F151" s="7"/>
      <c r="G151" s="7"/>
      <c r="H151" s="7"/>
      <c r="I151" s="7"/>
      <c r="J151" s="14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spans="1:24" ht="15.75" customHeight="1">
      <c r="A152" s="6"/>
      <c r="B152" s="110"/>
      <c r="C152" s="7"/>
      <c r="D152" s="7"/>
      <c r="E152" s="7"/>
      <c r="F152" s="7"/>
      <c r="G152" s="7"/>
      <c r="H152" s="7"/>
      <c r="I152" s="7"/>
      <c r="J152" s="14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spans="1:24" ht="15.75" customHeight="1">
      <c r="A153" s="6"/>
      <c r="B153" s="110"/>
      <c r="C153" s="7"/>
      <c r="D153" s="7"/>
      <c r="E153" s="7"/>
      <c r="F153" s="7"/>
      <c r="G153" s="7"/>
      <c r="H153" s="7"/>
      <c r="I153" s="7"/>
      <c r="J153" s="14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spans="1:24" ht="15.75" customHeight="1">
      <c r="A154" s="6"/>
      <c r="B154" s="110"/>
      <c r="C154" s="7"/>
      <c r="D154" s="7"/>
      <c r="E154" s="7"/>
      <c r="F154" s="7"/>
      <c r="G154" s="7"/>
      <c r="H154" s="7"/>
      <c r="I154" s="7"/>
      <c r="J154" s="14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spans="1:24" ht="15.75" customHeight="1">
      <c r="A155" s="6"/>
      <c r="B155" s="110"/>
      <c r="C155" s="7"/>
      <c r="D155" s="7"/>
      <c r="E155" s="7"/>
      <c r="F155" s="7"/>
      <c r="G155" s="7"/>
      <c r="H155" s="7"/>
      <c r="I155" s="7"/>
      <c r="J155" s="14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spans="1:24" ht="15.75" customHeight="1">
      <c r="A156" s="6"/>
      <c r="B156" s="110"/>
      <c r="C156" s="7"/>
      <c r="D156" s="7"/>
      <c r="E156" s="7"/>
      <c r="F156" s="7"/>
      <c r="G156" s="7"/>
      <c r="H156" s="7"/>
      <c r="I156" s="7"/>
      <c r="J156" s="14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spans="1:24" ht="15.75" customHeight="1">
      <c r="A157" s="6"/>
      <c r="B157" s="110"/>
      <c r="C157" s="7"/>
      <c r="D157" s="7"/>
      <c r="E157" s="7"/>
      <c r="F157" s="7"/>
      <c r="G157" s="7"/>
      <c r="H157" s="7"/>
      <c r="I157" s="7"/>
      <c r="J157" s="14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spans="1:24" ht="15.75" customHeight="1">
      <c r="A158" s="6"/>
      <c r="B158" s="110"/>
      <c r="C158" s="7"/>
      <c r="D158" s="7"/>
      <c r="E158" s="7"/>
      <c r="F158" s="7"/>
      <c r="G158" s="7"/>
      <c r="H158" s="7"/>
      <c r="I158" s="7"/>
      <c r="J158" s="14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spans="1:24" ht="15.75" customHeight="1">
      <c r="A159" s="6"/>
      <c r="B159" s="110"/>
      <c r="C159" s="7"/>
      <c r="D159" s="7"/>
      <c r="E159" s="7"/>
      <c r="F159" s="7"/>
      <c r="G159" s="7"/>
      <c r="H159" s="7"/>
      <c r="I159" s="7"/>
      <c r="J159" s="14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spans="1:24" ht="15.75" customHeight="1">
      <c r="A160" s="6"/>
      <c r="B160" s="110"/>
      <c r="C160" s="7"/>
      <c r="D160" s="7"/>
      <c r="E160" s="7"/>
      <c r="F160" s="7"/>
      <c r="G160" s="7"/>
      <c r="H160" s="7"/>
      <c r="I160" s="7"/>
      <c r="J160" s="14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spans="1:24" ht="15.75" customHeight="1">
      <c r="A161" s="6"/>
      <c r="B161" s="110"/>
      <c r="C161" s="7"/>
      <c r="D161" s="7"/>
      <c r="E161" s="7"/>
      <c r="F161" s="7"/>
      <c r="G161" s="7"/>
      <c r="H161" s="7"/>
      <c r="I161" s="7"/>
      <c r="J161" s="14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spans="1:24" ht="15.75" customHeight="1">
      <c r="A162" s="6"/>
      <c r="B162" s="110"/>
      <c r="C162" s="7"/>
      <c r="D162" s="7"/>
      <c r="E162" s="7"/>
      <c r="F162" s="7"/>
      <c r="G162" s="7"/>
      <c r="H162" s="7"/>
      <c r="I162" s="7"/>
      <c r="J162" s="14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spans="1:24" ht="15.75" customHeight="1">
      <c r="A163" s="6"/>
      <c r="B163" s="110"/>
      <c r="C163" s="7"/>
      <c r="D163" s="7"/>
      <c r="E163" s="7"/>
      <c r="F163" s="7"/>
      <c r="G163" s="7"/>
      <c r="H163" s="7"/>
      <c r="I163" s="7"/>
      <c r="J163" s="14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spans="1:24" ht="15.75" customHeight="1">
      <c r="A164" s="6"/>
      <c r="B164" s="110"/>
      <c r="C164" s="7"/>
      <c r="D164" s="7"/>
      <c r="E164" s="7"/>
      <c r="F164" s="7"/>
      <c r="G164" s="7"/>
      <c r="H164" s="7"/>
      <c r="I164" s="7"/>
      <c r="J164" s="14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spans="1:24" ht="15.75" customHeight="1">
      <c r="A165" s="6"/>
      <c r="B165" s="110"/>
      <c r="C165" s="7"/>
      <c r="D165" s="7"/>
      <c r="E165" s="7"/>
      <c r="F165" s="7"/>
      <c r="G165" s="7"/>
      <c r="H165" s="7"/>
      <c r="I165" s="7"/>
      <c r="J165" s="14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spans="1:24" ht="15.75" customHeight="1">
      <c r="A166" s="6"/>
      <c r="B166" s="110"/>
      <c r="C166" s="7"/>
      <c r="D166" s="7"/>
      <c r="E166" s="7"/>
      <c r="F166" s="7"/>
      <c r="G166" s="7"/>
      <c r="H166" s="7"/>
      <c r="I166" s="7"/>
      <c r="J166" s="14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spans="1:24" ht="15.75" customHeight="1">
      <c r="A167" s="6"/>
      <c r="B167" s="110"/>
      <c r="C167" s="7"/>
      <c r="D167" s="7"/>
      <c r="E167" s="7"/>
      <c r="F167" s="7"/>
      <c r="G167" s="7"/>
      <c r="H167" s="7"/>
      <c r="I167" s="7"/>
      <c r="J167" s="14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spans="1:24" ht="15.75" customHeight="1">
      <c r="A168" s="6"/>
      <c r="B168" s="110"/>
      <c r="C168" s="7"/>
      <c r="D168" s="7"/>
      <c r="E168" s="7"/>
      <c r="F168" s="7"/>
      <c r="G168" s="7"/>
      <c r="H168" s="7"/>
      <c r="I168" s="7"/>
      <c r="J168" s="14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spans="1:24" ht="15.75" customHeight="1">
      <c r="A169" s="6"/>
      <c r="B169" s="110"/>
      <c r="C169" s="7"/>
      <c r="D169" s="7"/>
      <c r="E169" s="7"/>
      <c r="F169" s="7"/>
      <c r="G169" s="7"/>
      <c r="H169" s="7"/>
      <c r="I169" s="7"/>
      <c r="J169" s="14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spans="1:24" ht="15.75" customHeight="1">
      <c r="A170" s="6"/>
      <c r="B170" s="110"/>
      <c r="C170" s="7"/>
      <c r="D170" s="7"/>
      <c r="E170" s="7"/>
      <c r="F170" s="7"/>
      <c r="G170" s="7"/>
      <c r="H170" s="7"/>
      <c r="I170" s="7"/>
      <c r="J170" s="14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spans="1:24" ht="15.75" customHeight="1">
      <c r="A171" s="6"/>
      <c r="B171" s="110"/>
      <c r="C171" s="7"/>
      <c r="D171" s="7"/>
      <c r="E171" s="7"/>
      <c r="F171" s="7"/>
      <c r="G171" s="7"/>
      <c r="H171" s="7"/>
      <c r="I171" s="7"/>
      <c r="J171" s="14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spans="1:24" ht="15.75" customHeight="1">
      <c r="A172" s="6"/>
      <c r="B172" s="110"/>
      <c r="C172" s="7"/>
      <c r="D172" s="7"/>
      <c r="E172" s="7"/>
      <c r="F172" s="7"/>
      <c r="G172" s="7"/>
      <c r="H172" s="7"/>
      <c r="I172" s="7"/>
      <c r="J172" s="14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spans="1:24" ht="15.75" customHeight="1">
      <c r="A173" s="6"/>
      <c r="B173" s="110"/>
      <c r="C173" s="7"/>
      <c r="D173" s="7"/>
      <c r="E173" s="7"/>
      <c r="F173" s="7"/>
      <c r="G173" s="7"/>
      <c r="H173" s="7"/>
      <c r="I173" s="7"/>
      <c r="J173" s="14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spans="1:24" ht="15.75" customHeight="1">
      <c r="A174" s="6"/>
      <c r="B174" s="110"/>
      <c r="C174" s="7"/>
      <c r="D174" s="7"/>
      <c r="E174" s="7"/>
      <c r="F174" s="7"/>
      <c r="G174" s="7"/>
      <c r="H174" s="7"/>
      <c r="I174" s="7"/>
      <c r="J174" s="14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spans="1:24" ht="15.75" customHeight="1">
      <c r="A175" s="6"/>
      <c r="B175" s="110"/>
      <c r="C175" s="7"/>
      <c r="D175" s="7"/>
      <c r="E175" s="7"/>
      <c r="F175" s="7"/>
      <c r="G175" s="7"/>
      <c r="H175" s="7"/>
      <c r="I175" s="7"/>
      <c r="J175" s="14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spans="1:24" ht="15.75" customHeight="1">
      <c r="A176" s="6"/>
      <c r="B176" s="110"/>
      <c r="C176" s="7"/>
      <c r="D176" s="7"/>
      <c r="E176" s="7"/>
      <c r="F176" s="7"/>
      <c r="G176" s="7"/>
      <c r="H176" s="7"/>
      <c r="I176" s="7"/>
      <c r="J176" s="14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spans="1:24" ht="15.75" customHeight="1">
      <c r="A177" s="6"/>
      <c r="B177" s="110"/>
      <c r="C177" s="7"/>
      <c r="D177" s="7"/>
      <c r="E177" s="7"/>
      <c r="F177" s="7"/>
      <c r="G177" s="7"/>
      <c r="H177" s="7"/>
      <c r="I177" s="7"/>
      <c r="J177" s="14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spans="1:24" ht="15.75" customHeight="1">
      <c r="A178" s="6"/>
      <c r="B178" s="110"/>
      <c r="C178" s="7"/>
      <c r="D178" s="7"/>
      <c r="E178" s="7"/>
      <c r="F178" s="7"/>
      <c r="G178" s="7"/>
      <c r="H178" s="7"/>
      <c r="I178" s="7"/>
      <c r="J178" s="14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spans="1:24" ht="15.75" customHeight="1">
      <c r="A179" s="6"/>
      <c r="B179" s="110"/>
      <c r="C179" s="7"/>
      <c r="D179" s="7"/>
      <c r="E179" s="7"/>
      <c r="F179" s="7"/>
      <c r="G179" s="7"/>
      <c r="H179" s="7"/>
      <c r="I179" s="7"/>
      <c r="J179" s="14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spans="1:24" ht="15.75" customHeight="1">
      <c r="A180" s="6"/>
      <c r="B180" s="110"/>
      <c r="C180" s="7"/>
      <c r="D180" s="7"/>
      <c r="E180" s="7"/>
      <c r="F180" s="7"/>
      <c r="G180" s="7"/>
      <c r="H180" s="7"/>
      <c r="I180" s="7"/>
      <c r="J180" s="14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spans="1:24" ht="15.75" customHeight="1">
      <c r="A181" s="6"/>
      <c r="B181" s="110"/>
      <c r="C181" s="7"/>
      <c r="D181" s="7"/>
      <c r="E181" s="7"/>
      <c r="F181" s="7"/>
      <c r="G181" s="7"/>
      <c r="H181" s="7"/>
      <c r="I181" s="7"/>
      <c r="J181" s="14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spans="1:24" ht="15.75" customHeight="1">
      <c r="A182" s="6"/>
      <c r="B182" s="110"/>
      <c r="C182" s="7"/>
      <c r="D182" s="7"/>
      <c r="E182" s="7"/>
      <c r="F182" s="7"/>
      <c r="G182" s="7"/>
      <c r="H182" s="7"/>
      <c r="I182" s="7"/>
      <c r="J182" s="14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spans="1:24" ht="15.75" customHeight="1">
      <c r="A183" s="6"/>
      <c r="B183" s="110"/>
      <c r="C183" s="7"/>
      <c r="D183" s="7"/>
      <c r="E183" s="7"/>
      <c r="F183" s="7"/>
      <c r="G183" s="7"/>
      <c r="H183" s="7"/>
      <c r="I183" s="7"/>
      <c r="J183" s="14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spans="1:24" ht="15.75" customHeight="1">
      <c r="A184" s="6"/>
      <c r="B184" s="110"/>
      <c r="C184" s="7"/>
      <c r="D184" s="7"/>
      <c r="E184" s="7"/>
      <c r="F184" s="7"/>
      <c r="G184" s="7"/>
      <c r="H184" s="7"/>
      <c r="I184" s="7"/>
      <c r="J184" s="14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spans="1:24" ht="15.75" customHeight="1">
      <c r="A185" s="6"/>
      <c r="B185" s="110"/>
      <c r="C185" s="7"/>
      <c r="D185" s="7"/>
      <c r="E185" s="7"/>
      <c r="F185" s="7"/>
      <c r="G185" s="7"/>
      <c r="H185" s="7"/>
      <c r="I185" s="7"/>
      <c r="J185" s="14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spans="1:24" ht="15.75" customHeight="1">
      <c r="A186" s="6"/>
      <c r="B186" s="110"/>
      <c r="C186" s="7"/>
      <c r="D186" s="7"/>
      <c r="E186" s="7"/>
      <c r="F186" s="7"/>
      <c r="G186" s="7"/>
      <c r="H186" s="7"/>
      <c r="I186" s="7"/>
      <c r="J186" s="14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spans="1:24" ht="15.75" customHeight="1">
      <c r="A187" s="6"/>
      <c r="B187" s="110"/>
      <c r="C187" s="7"/>
      <c r="D187" s="7"/>
      <c r="E187" s="7"/>
      <c r="F187" s="7"/>
      <c r="G187" s="7"/>
      <c r="H187" s="7"/>
      <c r="I187" s="7"/>
      <c r="J187" s="14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spans="1:24" ht="15.75" customHeight="1">
      <c r="A188" s="6"/>
      <c r="B188" s="110"/>
      <c r="C188" s="7"/>
      <c r="D188" s="7"/>
      <c r="E188" s="7"/>
      <c r="F188" s="7"/>
      <c r="G188" s="7"/>
      <c r="H188" s="7"/>
      <c r="I188" s="7"/>
      <c r="J188" s="14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spans="1:24" ht="15.75" customHeight="1">
      <c r="A189" s="6"/>
      <c r="B189" s="110"/>
      <c r="C189" s="7"/>
      <c r="D189" s="7"/>
      <c r="E189" s="7"/>
      <c r="F189" s="7"/>
      <c r="G189" s="7"/>
      <c r="H189" s="7"/>
      <c r="I189" s="7"/>
      <c r="J189" s="14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spans="1:24" ht="15.75" customHeight="1">
      <c r="A190" s="6"/>
      <c r="B190" s="110"/>
      <c r="C190" s="7"/>
      <c r="D190" s="7"/>
      <c r="E190" s="7"/>
      <c r="F190" s="7"/>
      <c r="G190" s="7"/>
      <c r="H190" s="7"/>
      <c r="I190" s="7"/>
      <c r="J190" s="14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spans="1:24" ht="15.75" customHeight="1">
      <c r="A191" s="6"/>
      <c r="B191" s="110"/>
      <c r="C191" s="7"/>
      <c r="D191" s="7"/>
      <c r="E191" s="7"/>
      <c r="F191" s="7"/>
      <c r="G191" s="7"/>
      <c r="H191" s="7"/>
      <c r="I191" s="7"/>
      <c r="J191" s="14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spans="1:24" ht="15.75" customHeight="1">
      <c r="A192" s="6"/>
      <c r="B192" s="110"/>
      <c r="C192" s="7"/>
      <c r="D192" s="7"/>
      <c r="E192" s="7"/>
      <c r="F192" s="7"/>
      <c r="G192" s="7"/>
      <c r="H192" s="7"/>
      <c r="I192" s="7"/>
      <c r="J192" s="14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spans="1:24" ht="15.75" customHeight="1">
      <c r="A193" s="6"/>
      <c r="B193" s="110"/>
      <c r="C193" s="7"/>
      <c r="D193" s="7"/>
      <c r="E193" s="7"/>
      <c r="F193" s="7"/>
      <c r="G193" s="7"/>
      <c r="H193" s="7"/>
      <c r="I193" s="7"/>
      <c r="J193" s="14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spans="1:24" ht="15.75" customHeight="1">
      <c r="A194" s="6"/>
      <c r="B194" s="110"/>
      <c r="C194" s="7"/>
      <c r="D194" s="7"/>
      <c r="E194" s="7"/>
      <c r="F194" s="7"/>
      <c r="G194" s="7"/>
      <c r="H194" s="7"/>
      <c r="I194" s="7"/>
      <c r="J194" s="14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spans="1:24" ht="15.75" customHeight="1">
      <c r="A195" s="6"/>
      <c r="B195" s="110"/>
      <c r="C195" s="7"/>
      <c r="D195" s="7"/>
      <c r="E195" s="7"/>
      <c r="F195" s="7"/>
      <c r="G195" s="7"/>
      <c r="H195" s="7"/>
      <c r="I195" s="7"/>
      <c r="J195" s="14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spans="1:24" ht="15.75" customHeight="1">
      <c r="A196" s="6"/>
      <c r="B196" s="110"/>
      <c r="C196" s="7"/>
      <c r="D196" s="7"/>
      <c r="E196" s="7"/>
      <c r="F196" s="7"/>
      <c r="G196" s="7"/>
      <c r="H196" s="7"/>
      <c r="I196" s="7"/>
      <c r="J196" s="14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spans="1:24" ht="15.75" customHeight="1">
      <c r="A197" s="6"/>
      <c r="B197" s="110"/>
      <c r="C197" s="7"/>
      <c r="D197" s="7"/>
      <c r="E197" s="7"/>
      <c r="F197" s="7"/>
      <c r="G197" s="7"/>
      <c r="H197" s="7"/>
      <c r="I197" s="7"/>
      <c r="J197" s="14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spans="1:24" ht="15.75" customHeight="1">
      <c r="A198" s="6"/>
      <c r="B198" s="110"/>
      <c r="C198" s="7"/>
      <c r="D198" s="7"/>
      <c r="E198" s="7"/>
      <c r="F198" s="7"/>
      <c r="G198" s="7"/>
      <c r="H198" s="7"/>
      <c r="I198" s="7"/>
      <c r="J198" s="14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spans="1:24" ht="15.75" customHeight="1">
      <c r="A199" s="6"/>
      <c r="B199" s="110"/>
      <c r="C199" s="7"/>
      <c r="D199" s="7"/>
      <c r="E199" s="7"/>
      <c r="F199" s="7"/>
      <c r="G199" s="7"/>
      <c r="H199" s="7"/>
      <c r="I199" s="7"/>
      <c r="J199" s="14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spans="1:24" ht="15.75" customHeight="1">
      <c r="A200" s="6"/>
      <c r="B200" s="110"/>
      <c r="C200" s="7"/>
      <c r="D200" s="7"/>
      <c r="E200" s="7"/>
      <c r="F200" s="7"/>
      <c r="G200" s="7"/>
      <c r="H200" s="7"/>
      <c r="I200" s="7"/>
      <c r="J200" s="14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spans="1:24" ht="15.75" customHeight="1">
      <c r="A201" s="6"/>
      <c r="B201" s="110"/>
      <c r="C201" s="7"/>
      <c r="D201" s="7"/>
      <c r="E201" s="7"/>
      <c r="F201" s="7"/>
      <c r="G201" s="7"/>
      <c r="H201" s="7"/>
      <c r="I201" s="7"/>
      <c r="J201" s="14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spans="1:24" ht="15.75" customHeight="1">
      <c r="A202" s="6"/>
      <c r="B202" s="110"/>
      <c r="C202" s="7"/>
      <c r="D202" s="7"/>
      <c r="E202" s="7"/>
      <c r="F202" s="7"/>
      <c r="G202" s="7"/>
      <c r="H202" s="7"/>
      <c r="I202" s="7"/>
      <c r="J202" s="14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spans="1:24" ht="15.75" customHeight="1">
      <c r="A203" s="6"/>
      <c r="B203" s="110"/>
      <c r="C203" s="7"/>
      <c r="D203" s="7"/>
      <c r="E203" s="7"/>
      <c r="F203" s="7"/>
      <c r="G203" s="7"/>
      <c r="H203" s="7"/>
      <c r="I203" s="7"/>
      <c r="J203" s="14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spans="1:24" ht="15.75" customHeight="1">
      <c r="A204" s="6"/>
      <c r="B204" s="110"/>
      <c r="C204" s="7"/>
      <c r="D204" s="7"/>
      <c r="E204" s="7"/>
      <c r="F204" s="7"/>
      <c r="G204" s="7"/>
      <c r="H204" s="7"/>
      <c r="I204" s="7"/>
      <c r="J204" s="14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spans="1:24" ht="15.75" customHeight="1">
      <c r="A205" s="6"/>
      <c r="B205" s="110"/>
      <c r="C205" s="7"/>
      <c r="D205" s="7"/>
      <c r="E205" s="7"/>
      <c r="F205" s="7"/>
      <c r="G205" s="7"/>
      <c r="H205" s="7"/>
      <c r="I205" s="7"/>
      <c r="J205" s="14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spans="1:24" ht="15.75" customHeight="1">
      <c r="A206" s="6"/>
      <c r="B206" s="110"/>
      <c r="C206" s="7"/>
      <c r="D206" s="7"/>
      <c r="E206" s="7"/>
      <c r="F206" s="7"/>
      <c r="G206" s="7"/>
      <c r="H206" s="7"/>
      <c r="I206" s="7"/>
      <c r="J206" s="14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spans="1:24" ht="15.75" customHeight="1">
      <c r="A207" s="6"/>
      <c r="B207" s="110"/>
      <c r="C207" s="7"/>
      <c r="D207" s="7"/>
      <c r="E207" s="7"/>
      <c r="F207" s="7"/>
      <c r="G207" s="7"/>
      <c r="H207" s="7"/>
      <c r="I207" s="7"/>
      <c r="J207" s="14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spans="1:24" ht="15.75" customHeight="1">
      <c r="A208" s="6"/>
      <c r="B208" s="110"/>
      <c r="C208" s="7"/>
      <c r="D208" s="7"/>
      <c r="E208" s="7"/>
      <c r="F208" s="7"/>
      <c r="G208" s="7"/>
      <c r="H208" s="7"/>
      <c r="I208" s="7"/>
      <c r="J208" s="14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spans="1:24" ht="15.75" customHeight="1">
      <c r="A209" s="6"/>
      <c r="B209" s="110"/>
      <c r="C209" s="7"/>
      <c r="D209" s="7"/>
      <c r="E209" s="7"/>
      <c r="F209" s="7"/>
      <c r="G209" s="7"/>
      <c r="H209" s="7"/>
      <c r="I209" s="7"/>
      <c r="J209" s="14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spans="1:24" ht="15.75" customHeight="1">
      <c r="A210" s="6"/>
      <c r="B210" s="110"/>
      <c r="C210" s="7"/>
      <c r="D210" s="7"/>
      <c r="E210" s="7"/>
      <c r="F210" s="7"/>
      <c r="G210" s="7"/>
      <c r="H210" s="7"/>
      <c r="I210" s="7"/>
      <c r="J210" s="14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spans="1:24" ht="15.75" customHeight="1">
      <c r="A211" s="6"/>
      <c r="B211" s="110"/>
      <c r="C211" s="7"/>
      <c r="D211" s="7"/>
      <c r="E211" s="7"/>
      <c r="F211" s="7"/>
      <c r="G211" s="7"/>
      <c r="H211" s="7"/>
      <c r="I211" s="7"/>
      <c r="J211" s="14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spans="1:24" ht="15.75" customHeight="1">
      <c r="A212" s="6"/>
      <c r="B212" s="110"/>
      <c r="C212" s="7"/>
      <c r="D212" s="7"/>
      <c r="E212" s="7"/>
      <c r="F212" s="7"/>
      <c r="G212" s="7"/>
      <c r="H212" s="7"/>
      <c r="I212" s="7"/>
      <c r="J212" s="14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spans="1:24" ht="15.75" customHeight="1">
      <c r="A213" s="6"/>
      <c r="B213" s="110"/>
      <c r="C213" s="7"/>
      <c r="D213" s="7"/>
      <c r="E213" s="7"/>
      <c r="F213" s="7"/>
      <c r="G213" s="7"/>
      <c r="H213" s="7"/>
      <c r="I213" s="7"/>
      <c r="J213" s="14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spans="1:24" ht="15.75" customHeight="1">
      <c r="A214" s="6"/>
      <c r="B214" s="110"/>
      <c r="C214" s="7"/>
      <c r="D214" s="7"/>
      <c r="E214" s="7"/>
      <c r="F214" s="7"/>
      <c r="G214" s="7"/>
      <c r="H214" s="7"/>
      <c r="I214" s="7"/>
      <c r="J214" s="14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spans="1:24" ht="15.75" customHeight="1">
      <c r="A215" s="6"/>
      <c r="B215" s="110"/>
      <c r="C215" s="7"/>
      <c r="D215" s="7"/>
      <c r="E215" s="7"/>
      <c r="F215" s="7"/>
      <c r="G215" s="7"/>
      <c r="H215" s="7"/>
      <c r="I215" s="7"/>
      <c r="J215" s="14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spans="1:24" ht="15.75" customHeight="1">
      <c r="A216" s="6"/>
      <c r="B216" s="110"/>
      <c r="C216" s="7"/>
      <c r="D216" s="7"/>
      <c r="E216" s="7"/>
      <c r="F216" s="7"/>
      <c r="G216" s="7"/>
      <c r="H216" s="7"/>
      <c r="I216" s="7"/>
      <c r="J216" s="14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spans="1:24" ht="15.75" customHeight="1">
      <c r="A217" s="6"/>
      <c r="B217" s="110"/>
      <c r="C217" s="7"/>
      <c r="D217" s="7"/>
      <c r="E217" s="7"/>
      <c r="F217" s="7"/>
      <c r="G217" s="7"/>
      <c r="H217" s="7"/>
      <c r="I217" s="7"/>
      <c r="J217" s="14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spans="1:24" ht="15.75" customHeight="1">
      <c r="A218" s="6"/>
      <c r="B218" s="110"/>
      <c r="C218" s="7"/>
      <c r="D218" s="7"/>
      <c r="E218" s="7"/>
      <c r="F218" s="7"/>
      <c r="G218" s="7"/>
      <c r="H218" s="7"/>
      <c r="I218" s="7"/>
      <c r="J218" s="14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spans="1:24" ht="15.75" customHeight="1">
      <c r="A219" s="6"/>
      <c r="B219" s="110"/>
      <c r="C219" s="7"/>
      <c r="D219" s="7"/>
      <c r="E219" s="7"/>
      <c r="F219" s="7"/>
      <c r="G219" s="7"/>
      <c r="H219" s="7"/>
      <c r="I219" s="7"/>
      <c r="J219" s="14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spans="1:24" ht="15.75" customHeight="1">
      <c r="A220" s="6"/>
      <c r="B220" s="110"/>
      <c r="C220" s="7"/>
      <c r="D220" s="7"/>
      <c r="E220" s="7"/>
      <c r="F220" s="7"/>
      <c r="G220" s="7"/>
      <c r="H220" s="7"/>
      <c r="I220" s="7"/>
      <c r="J220" s="14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spans="1:24" ht="15.75" customHeight="1">
      <c r="A221" s="6"/>
      <c r="B221" s="110"/>
      <c r="C221" s="7"/>
      <c r="D221" s="7"/>
      <c r="E221" s="7"/>
      <c r="F221" s="7"/>
      <c r="G221" s="7"/>
      <c r="H221" s="7"/>
      <c r="I221" s="7"/>
      <c r="J221" s="14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spans="1:24" ht="15.75" customHeight="1">
      <c r="A222" s="6"/>
      <c r="B222" s="110"/>
      <c r="C222" s="7"/>
      <c r="D222" s="7"/>
      <c r="E222" s="7"/>
      <c r="F222" s="7"/>
      <c r="G222" s="7"/>
      <c r="H222" s="7"/>
      <c r="I222" s="7"/>
      <c r="J222" s="14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spans="1:24" ht="15.75" customHeight="1">
      <c r="A223" s="6"/>
      <c r="B223" s="110"/>
      <c r="C223" s="7"/>
      <c r="D223" s="7"/>
      <c r="E223" s="7"/>
      <c r="F223" s="7"/>
      <c r="G223" s="7"/>
      <c r="H223" s="7"/>
      <c r="I223" s="7"/>
      <c r="J223" s="14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spans="1:24" ht="15.75" customHeight="1">
      <c r="A224" s="6"/>
      <c r="B224" s="110"/>
      <c r="C224" s="7"/>
      <c r="D224" s="7"/>
      <c r="E224" s="7"/>
      <c r="F224" s="7"/>
      <c r="G224" s="7"/>
      <c r="H224" s="7"/>
      <c r="I224" s="7"/>
      <c r="J224" s="14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spans="1:24" ht="15.75" customHeight="1">
      <c r="A225" s="6"/>
      <c r="B225" s="110"/>
      <c r="C225" s="7"/>
      <c r="D225" s="7"/>
      <c r="E225" s="7"/>
      <c r="F225" s="7"/>
      <c r="G225" s="7"/>
      <c r="H225" s="7"/>
      <c r="I225" s="7"/>
      <c r="J225" s="14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spans="1:24" ht="15.75" customHeight="1">
      <c r="A226" s="6"/>
      <c r="B226" s="110"/>
      <c r="C226" s="7"/>
      <c r="D226" s="7"/>
      <c r="E226" s="7"/>
      <c r="F226" s="7"/>
      <c r="G226" s="7"/>
      <c r="H226" s="7"/>
      <c r="I226" s="7"/>
      <c r="J226" s="14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spans="1:24" ht="15.75" customHeight="1">
      <c r="A227" s="6"/>
      <c r="B227" s="110"/>
      <c r="C227" s="7"/>
      <c r="D227" s="7"/>
      <c r="E227" s="7"/>
      <c r="F227" s="7"/>
      <c r="G227" s="7"/>
      <c r="H227" s="7"/>
      <c r="I227" s="7"/>
      <c r="J227" s="14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spans="1:24" ht="15.75" customHeight="1">
      <c r="A228" s="6"/>
      <c r="B228" s="110"/>
      <c r="C228" s="7"/>
      <c r="D228" s="7"/>
      <c r="E228" s="7"/>
      <c r="F228" s="7"/>
      <c r="G228" s="7"/>
      <c r="H228" s="7"/>
      <c r="I228" s="7"/>
      <c r="J228" s="14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spans="1:24" ht="15.75" customHeight="1">
      <c r="A229" s="6"/>
      <c r="B229" s="110"/>
      <c r="C229" s="7"/>
      <c r="D229" s="7"/>
      <c r="E229" s="7"/>
      <c r="F229" s="7"/>
      <c r="G229" s="7"/>
      <c r="H229" s="7"/>
      <c r="I229" s="7"/>
      <c r="J229" s="14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spans="1:24" ht="15.75" customHeight="1">
      <c r="A230" s="6"/>
      <c r="B230" s="110"/>
      <c r="C230" s="7"/>
      <c r="D230" s="7"/>
      <c r="E230" s="7"/>
      <c r="F230" s="7"/>
      <c r="G230" s="7"/>
      <c r="H230" s="7"/>
      <c r="I230" s="7"/>
      <c r="J230" s="14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spans="1:24" ht="15.75" customHeight="1">
      <c r="A231" s="6"/>
      <c r="B231" s="110"/>
      <c r="C231" s="7"/>
      <c r="D231" s="7"/>
      <c r="E231" s="7"/>
      <c r="F231" s="7"/>
      <c r="G231" s="7"/>
      <c r="H231" s="7"/>
      <c r="I231" s="7"/>
      <c r="J231" s="14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spans="1:24" ht="15.75" customHeight="1">
      <c r="A232" s="6"/>
      <c r="B232" s="110"/>
      <c r="C232" s="7"/>
      <c r="D232" s="7"/>
      <c r="E232" s="7"/>
      <c r="F232" s="7"/>
      <c r="G232" s="7"/>
      <c r="H232" s="7"/>
      <c r="I232" s="7"/>
      <c r="J232" s="14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spans="1:24" ht="15.75" customHeight="1">
      <c r="A233" s="6"/>
      <c r="B233" s="110"/>
      <c r="C233" s="7"/>
      <c r="D233" s="7"/>
      <c r="E233" s="7"/>
      <c r="F233" s="7"/>
      <c r="G233" s="7"/>
      <c r="H233" s="7"/>
      <c r="I233" s="7"/>
      <c r="J233" s="14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spans="1:24" ht="15.75" customHeight="1">
      <c r="A234" s="6"/>
      <c r="B234" s="110"/>
      <c r="C234" s="7"/>
      <c r="D234" s="7"/>
      <c r="E234" s="7"/>
      <c r="F234" s="7"/>
      <c r="G234" s="7"/>
      <c r="H234" s="7"/>
      <c r="I234" s="7"/>
      <c r="J234" s="14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spans="1:24" ht="15.75" customHeight="1">
      <c r="A235" s="6"/>
      <c r="B235" s="110"/>
      <c r="C235" s="7"/>
      <c r="D235" s="7"/>
      <c r="E235" s="7"/>
      <c r="F235" s="7"/>
      <c r="G235" s="7"/>
      <c r="H235" s="7"/>
      <c r="I235" s="7"/>
      <c r="J235" s="14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spans="1:24" ht="15.75" customHeight="1">
      <c r="A236" s="6"/>
      <c r="B236" s="110"/>
      <c r="C236" s="7"/>
      <c r="D236" s="7"/>
      <c r="E236" s="7"/>
      <c r="F236" s="7"/>
      <c r="G236" s="7"/>
      <c r="H236" s="7"/>
      <c r="I236" s="7"/>
      <c r="J236" s="14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spans="1:24" ht="15.75" customHeight="1">
      <c r="A237" s="6"/>
      <c r="B237" s="110"/>
      <c r="C237" s="7"/>
      <c r="D237" s="7"/>
      <c r="E237" s="7"/>
      <c r="F237" s="7"/>
      <c r="G237" s="7"/>
      <c r="H237" s="7"/>
      <c r="I237" s="7"/>
      <c r="J237" s="14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spans="1:24" ht="15.75" customHeight="1">
      <c r="A238" s="6"/>
      <c r="B238" s="110"/>
      <c r="C238" s="7"/>
      <c r="D238" s="7"/>
      <c r="E238" s="7"/>
      <c r="F238" s="7"/>
      <c r="G238" s="7"/>
      <c r="H238" s="7"/>
      <c r="I238" s="7"/>
      <c r="J238" s="14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spans="1:24" ht="15.75" customHeight="1">
      <c r="A239" s="6"/>
      <c r="B239" s="110"/>
      <c r="C239" s="7"/>
      <c r="D239" s="7"/>
      <c r="E239" s="7"/>
      <c r="F239" s="7"/>
      <c r="G239" s="7"/>
      <c r="H239" s="7"/>
      <c r="I239" s="7"/>
      <c r="J239" s="14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spans="1:24" ht="15.75" customHeight="1">
      <c r="A240" s="6"/>
      <c r="B240" s="110"/>
      <c r="C240" s="7"/>
      <c r="D240" s="7"/>
      <c r="E240" s="7"/>
      <c r="F240" s="7"/>
      <c r="G240" s="7"/>
      <c r="H240" s="7"/>
      <c r="I240" s="7"/>
      <c r="J240" s="14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spans="1:24" ht="15.75" customHeight="1">
      <c r="A241" s="6"/>
      <c r="B241" s="110"/>
      <c r="C241" s="7"/>
      <c r="D241" s="7"/>
      <c r="E241" s="7"/>
      <c r="F241" s="7"/>
      <c r="G241" s="7"/>
      <c r="H241" s="7"/>
      <c r="I241" s="7"/>
      <c r="J241" s="14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spans="1:24" ht="15.75" customHeight="1">
      <c r="A242" s="6"/>
      <c r="B242" s="110"/>
      <c r="C242" s="7"/>
      <c r="D242" s="7"/>
      <c r="E242" s="7"/>
      <c r="F242" s="7"/>
      <c r="G242" s="7"/>
      <c r="H242" s="7"/>
      <c r="I242" s="7"/>
      <c r="J242" s="14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spans="1:24" ht="15.75" customHeight="1">
      <c r="A243" s="6"/>
      <c r="B243" s="110"/>
      <c r="C243" s="7"/>
      <c r="D243" s="7"/>
      <c r="E243" s="7"/>
      <c r="F243" s="7"/>
      <c r="G243" s="7"/>
      <c r="H243" s="7"/>
      <c r="I243" s="7"/>
      <c r="J243" s="14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spans="1:24" ht="15.75" customHeight="1">
      <c r="A244" s="6"/>
      <c r="B244" s="110"/>
      <c r="C244" s="7"/>
      <c r="D244" s="7"/>
      <c r="E244" s="7"/>
      <c r="F244" s="7"/>
      <c r="G244" s="7"/>
      <c r="H244" s="7"/>
      <c r="I244" s="7"/>
      <c r="J244" s="14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spans="1:24" ht="15.75" customHeight="1">
      <c r="A245" s="6"/>
      <c r="B245" s="110"/>
      <c r="C245" s="7"/>
      <c r="D245" s="7"/>
      <c r="E245" s="7"/>
      <c r="F245" s="7"/>
      <c r="G245" s="7"/>
      <c r="H245" s="7"/>
      <c r="I245" s="7"/>
      <c r="J245" s="14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spans="1:24" ht="15.75" customHeight="1">
      <c r="A246" s="6"/>
      <c r="B246" s="110"/>
      <c r="C246" s="7"/>
      <c r="D246" s="7"/>
      <c r="E246" s="7"/>
      <c r="F246" s="7"/>
      <c r="G246" s="7"/>
      <c r="H246" s="7"/>
      <c r="I246" s="7"/>
      <c r="J246" s="14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spans="1:24" ht="15.75" customHeight="1">
      <c r="A247" s="6"/>
      <c r="B247" s="110"/>
      <c r="C247" s="7"/>
      <c r="D247" s="7"/>
      <c r="E247" s="7"/>
      <c r="F247" s="7"/>
      <c r="G247" s="7"/>
      <c r="H247" s="7"/>
      <c r="I247" s="7"/>
      <c r="J247" s="14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spans="1:24" ht="15.75" customHeight="1">
      <c r="A248" s="6"/>
      <c r="B248" s="110"/>
      <c r="C248" s="7"/>
      <c r="D248" s="7"/>
      <c r="E248" s="7"/>
      <c r="F248" s="7"/>
      <c r="G248" s="7"/>
      <c r="H248" s="7"/>
      <c r="I248" s="7"/>
      <c r="J248" s="14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spans="1:24" ht="15.75" customHeight="1">
      <c r="A249" s="6"/>
      <c r="B249" s="110"/>
      <c r="C249" s="7"/>
      <c r="D249" s="7"/>
      <c r="E249" s="7"/>
      <c r="F249" s="7"/>
      <c r="G249" s="7"/>
      <c r="H249" s="7"/>
      <c r="I249" s="7"/>
      <c r="J249" s="14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spans="1:24" ht="15.75" customHeight="1">
      <c r="A250" s="6"/>
      <c r="B250" s="110"/>
      <c r="C250" s="7"/>
      <c r="D250" s="7"/>
      <c r="E250" s="7"/>
      <c r="F250" s="7"/>
      <c r="G250" s="7"/>
      <c r="H250" s="7"/>
      <c r="I250" s="7"/>
      <c r="J250" s="14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spans="1:24" ht="15.75" customHeight="1">
      <c r="A251" s="6"/>
      <c r="B251" s="110"/>
      <c r="C251" s="7"/>
      <c r="D251" s="7"/>
      <c r="E251" s="7"/>
      <c r="F251" s="7"/>
      <c r="G251" s="7"/>
      <c r="H251" s="7"/>
      <c r="I251" s="7"/>
      <c r="J251" s="14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spans="1:24" ht="15.75" customHeight="1">
      <c r="A252" s="6"/>
      <c r="B252" s="110"/>
      <c r="C252" s="7"/>
      <c r="D252" s="7"/>
      <c r="E252" s="7"/>
      <c r="F252" s="7"/>
      <c r="G252" s="7"/>
      <c r="H252" s="7"/>
      <c r="I252" s="7"/>
      <c r="J252" s="14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spans="1:24" ht="15.75" customHeight="1">
      <c r="A253" s="6"/>
      <c r="B253" s="110"/>
      <c r="C253" s="7"/>
      <c r="D253" s="7"/>
      <c r="E253" s="7"/>
      <c r="F253" s="7"/>
      <c r="G253" s="7"/>
      <c r="H253" s="7"/>
      <c r="I253" s="7"/>
      <c r="J253" s="14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spans="1:24" ht="15.75" customHeight="1">
      <c r="A254" s="6"/>
      <c r="B254" s="110"/>
      <c r="C254" s="7"/>
      <c r="D254" s="7"/>
      <c r="E254" s="7"/>
      <c r="F254" s="7"/>
      <c r="G254" s="7"/>
      <c r="H254" s="7"/>
      <c r="I254" s="7"/>
      <c r="J254" s="14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spans="1:24" ht="15.75" customHeight="1">
      <c r="A255" s="6"/>
      <c r="B255" s="110"/>
      <c r="C255" s="7"/>
      <c r="D255" s="7"/>
      <c r="E255" s="7"/>
      <c r="F255" s="7"/>
      <c r="G255" s="7"/>
      <c r="H255" s="7"/>
      <c r="I255" s="7"/>
      <c r="J255" s="14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spans="1:24" ht="15.75" customHeight="1">
      <c r="A256" s="6"/>
      <c r="B256" s="110"/>
      <c r="C256" s="7"/>
      <c r="D256" s="7"/>
      <c r="E256" s="7"/>
      <c r="F256" s="7"/>
      <c r="G256" s="7"/>
      <c r="H256" s="7"/>
      <c r="I256" s="7"/>
      <c r="J256" s="14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spans="1:24" ht="15.75" customHeight="1">
      <c r="A257" s="6"/>
      <c r="B257" s="110"/>
      <c r="C257" s="7"/>
      <c r="D257" s="7"/>
      <c r="E257" s="7"/>
      <c r="F257" s="7"/>
      <c r="G257" s="7"/>
      <c r="H257" s="7"/>
      <c r="I257" s="7"/>
      <c r="J257" s="14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spans="1:24" ht="15.75" customHeight="1">
      <c r="A258" s="6"/>
      <c r="B258" s="110"/>
      <c r="C258" s="7"/>
      <c r="D258" s="7"/>
      <c r="E258" s="7"/>
      <c r="F258" s="7"/>
      <c r="G258" s="7"/>
      <c r="H258" s="7"/>
      <c r="I258" s="7"/>
      <c r="J258" s="14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spans="1:24" ht="15.75" customHeight="1">
      <c r="A259" s="6"/>
      <c r="B259" s="110"/>
      <c r="C259" s="7"/>
      <c r="D259" s="7"/>
      <c r="E259" s="7"/>
      <c r="F259" s="7"/>
      <c r="G259" s="7"/>
      <c r="H259" s="7"/>
      <c r="I259" s="7"/>
      <c r="J259" s="14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spans="1:24" ht="15.75" customHeight="1">
      <c r="A260" s="6"/>
      <c r="B260" s="110"/>
      <c r="C260" s="7"/>
      <c r="D260" s="7"/>
      <c r="E260" s="7"/>
      <c r="F260" s="7"/>
      <c r="G260" s="7"/>
      <c r="H260" s="7"/>
      <c r="I260" s="7"/>
      <c r="J260" s="14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spans="1:24" ht="15.75" customHeight="1">
      <c r="A261" s="6"/>
      <c r="B261" s="110"/>
      <c r="C261" s="7"/>
      <c r="D261" s="7"/>
      <c r="E261" s="7"/>
      <c r="F261" s="7"/>
      <c r="G261" s="7"/>
      <c r="H261" s="7"/>
      <c r="I261" s="7"/>
      <c r="J261" s="14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 spans="1:24" ht="15.75" customHeight="1">
      <c r="A262" s="6"/>
      <c r="B262" s="110"/>
      <c r="C262" s="7"/>
      <c r="D262" s="7"/>
      <c r="E262" s="7"/>
      <c r="F262" s="7"/>
      <c r="G262" s="7"/>
      <c r="H262" s="7"/>
      <c r="I262" s="7"/>
      <c r="J262" s="14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 spans="1:24" ht="15.75" customHeight="1">
      <c r="A263" s="6"/>
      <c r="B263" s="110"/>
      <c r="C263" s="7"/>
      <c r="D263" s="7"/>
      <c r="E263" s="7"/>
      <c r="F263" s="7"/>
      <c r="G263" s="7"/>
      <c r="H263" s="7"/>
      <c r="I263" s="7"/>
      <c r="J263" s="14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 spans="1:24" ht="15.75" customHeight="1">
      <c r="A264" s="6"/>
      <c r="B264" s="110"/>
      <c r="C264" s="7"/>
      <c r="D264" s="7"/>
      <c r="E264" s="7"/>
      <c r="F264" s="7"/>
      <c r="G264" s="7"/>
      <c r="H264" s="7"/>
      <c r="I264" s="7"/>
      <c r="J264" s="14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 spans="1:24" ht="15.75" customHeight="1">
      <c r="A265" s="6"/>
      <c r="B265" s="110"/>
      <c r="C265" s="7"/>
      <c r="D265" s="7"/>
      <c r="E265" s="7"/>
      <c r="F265" s="7"/>
      <c r="G265" s="7"/>
      <c r="H265" s="7"/>
      <c r="I265" s="7"/>
      <c r="J265" s="14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 spans="1:24" ht="15.75" customHeight="1">
      <c r="A266" s="6"/>
      <c r="B266" s="110"/>
      <c r="C266" s="7"/>
      <c r="D266" s="7"/>
      <c r="E266" s="7"/>
      <c r="F266" s="7"/>
      <c r="G266" s="7"/>
      <c r="H266" s="7"/>
      <c r="I266" s="7"/>
      <c r="J266" s="14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 spans="1:24" ht="15.75" customHeight="1">
      <c r="A267" s="6"/>
      <c r="B267" s="110"/>
      <c r="C267" s="7"/>
      <c r="D267" s="7"/>
      <c r="E267" s="7"/>
      <c r="F267" s="7"/>
      <c r="G267" s="7"/>
      <c r="H267" s="7"/>
      <c r="I267" s="7"/>
      <c r="J267" s="14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 spans="1:24" ht="15.75" customHeight="1">
      <c r="A268" s="6"/>
      <c r="B268" s="110"/>
      <c r="C268" s="7"/>
      <c r="D268" s="7"/>
      <c r="E268" s="7"/>
      <c r="F268" s="7"/>
      <c r="G268" s="7"/>
      <c r="H268" s="7"/>
      <c r="I268" s="7"/>
      <c r="J268" s="14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 spans="1:24" ht="15.75" customHeight="1">
      <c r="A269" s="6"/>
      <c r="B269" s="110"/>
      <c r="C269" s="7"/>
      <c r="D269" s="7"/>
      <c r="E269" s="7"/>
      <c r="F269" s="7"/>
      <c r="G269" s="7"/>
      <c r="H269" s="7"/>
      <c r="I269" s="7"/>
      <c r="J269" s="14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 spans="1:24" ht="15.75" customHeight="1">
      <c r="A270" s="6"/>
      <c r="B270" s="110"/>
      <c r="C270" s="7"/>
      <c r="D270" s="7"/>
      <c r="E270" s="7"/>
      <c r="F270" s="7"/>
      <c r="G270" s="7"/>
      <c r="H270" s="7"/>
      <c r="I270" s="7"/>
      <c r="J270" s="14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 spans="1:24" ht="15.75" customHeight="1">
      <c r="A271" s="6"/>
      <c r="B271" s="110"/>
      <c r="C271" s="7"/>
      <c r="D271" s="7"/>
      <c r="E271" s="7"/>
      <c r="F271" s="7"/>
      <c r="G271" s="7"/>
      <c r="H271" s="7"/>
      <c r="I271" s="7"/>
      <c r="J271" s="14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 spans="1:24" ht="15.75" customHeight="1">
      <c r="A272" s="6"/>
      <c r="B272" s="110"/>
      <c r="C272" s="7"/>
      <c r="D272" s="7"/>
      <c r="E272" s="7"/>
      <c r="F272" s="7"/>
      <c r="G272" s="7"/>
      <c r="H272" s="7"/>
      <c r="I272" s="7"/>
      <c r="J272" s="14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 spans="1:24" ht="15.75" customHeight="1">
      <c r="A273" s="6"/>
      <c r="B273" s="110"/>
      <c r="C273" s="7"/>
      <c r="D273" s="7"/>
      <c r="E273" s="7"/>
      <c r="F273" s="7"/>
      <c r="G273" s="7"/>
      <c r="H273" s="7"/>
      <c r="I273" s="7"/>
      <c r="J273" s="14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 spans="1:24" ht="15.75" customHeight="1"/>
    <row r="275" spans="1:24" ht="15.75" customHeight="1"/>
    <row r="276" spans="1:24" ht="15.75" customHeight="1"/>
    <row r="277" spans="1:24" ht="15.75" customHeight="1"/>
    <row r="278" spans="1:24" ht="15.75" customHeight="1"/>
    <row r="279" spans="1:24" ht="15.75" customHeight="1"/>
    <row r="280" spans="1:24" ht="15.75" customHeight="1"/>
    <row r="281" spans="1:24" ht="15.75" customHeight="1"/>
    <row r="282" spans="1:24" ht="15.75" customHeight="1"/>
    <row r="283" spans="1:24" ht="15.75" customHeight="1"/>
    <row r="284" spans="1:24" ht="15.75" customHeight="1"/>
    <row r="285" spans="1:24" ht="15.75" customHeight="1"/>
    <row r="286" spans="1:24" ht="15.75" customHeight="1"/>
    <row r="287" spans="1:24" ht="15.75" customHeight="1"/>
    <row r="288" spans="1:24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6">
    <mergeCell ref="A51:I51"/>
    <mergeCell ref="G53:H53"/>
    <mergeCell ref="G66:G67"/>
    <mergeCell ref="H66:H67"/>
    <mergeCell ref="B53:E53"/>
    <mergeCell ref="B54:C54"/>
    <mergeCell ref="D54:E54"/>
    <mergeCell ref="B61:E61"/>
    <mergeCell ref="B62:C62"/>
    <mergeCell ref="D62:E62"/>
    <mergeCell ref="G64:H64"/>
    <mergeCell ref="A1:F1"/>
    <mergeCell ref="G1:I1"/>
    <mergeCell ref="A11:I11"/>
    <mergeCell ref="A26:I26"/>
    <mergeCell ref="A33:I33"/>
  </mergeCells>
  <conditionalFormatting sqref="A5:I5">
    <cfRule type="colorScale" priority="3">
      <colorScale>
        <cfvo type="min"/>
        <cfvo type="max"/>
        <color rgb="FFFFFFFF"/>
        <color rgb="FF57BB8A"/>
      </colorScale>
    </cfRule>
  </conditionalFormatting>
  <hyperlinks>
    <hyperlink ref="B3" location="MS!A1" display="Morgan Stanley (MS)" xr:uid="{00000000-0004-0000-0000-000000000000}"/>
    <hyperlink ref="B5" location="JPM!A1" display="JP Morgan (JPM)" xr:uid="{00000000-0004-0000-0000-000003000000}"/>
    <hyperlink ref="B6" location="null!A1" display="Bank of America (BAC)" xr:uid="{00000000-0004-0000-0000-000005000000}"/>
    <hyperlink ref="B7" location="null!A1" display="Citigroup (C)" xr:uid="{00000000-0004-0000-0000-000007000000}"/>
    <hyperlink ref="B8" location="null!A1" display="UBS (UBSG)" xr:uid="{00000000-0004-0000-0000-000008000000}"/>
    <hyperlink ref="B9" location="null!A1" display="Barclays (BARC)" xr:uid="{00000000-0004-0000-0000-00000A000000}"/>
    <hyperlink ref="B10" location="null!A1" display="Deutsche Bank (DBK)" xr:uid="{00000000-0004-0000-0000-00000C000000}"/>
    <hyperlink ref="B12" location="Qatalyst!A1" display="Qatalyst (Q)" xr:uid="{00000000-0004-0000-0000-00000D000000}"/>
    <hyperlink ref="B13" location="Evercore!A1" display="Evercore &amp; Evercore NY" xr:uid="{00000000-0004-0000-0000-00000E000000}"/>
    <hyperlink ref="B14" location="null!A1" display="Lazard (LAZ)" xr:uid="{00000000-0004-0000-0000-00000F000000}"/>
    <hyperlink ref="B16" location="null!A1" display="Centerview Partners (CVP)" xr:uid="{00000000-0004-0000-0000-000010000000}"/>
    <hyperlink ref="B19" location="null!A1" display="Greenhill &amp; Co. (GHL)" xr:uid="{00000000-0004-0000-0000-000011000000}"/>
    <hyperlink ref="B22" location="null!A1" display="Perella Weinberg Partners (PWP)" xr:uid="{00000000-0004-0000-0000-000012000000}"/>
    <hyperlink ref="B24" location="null!A1" display="PJT Partners (PJT)" xr:uid="{00000000-0004-0000-0000-000013000000}"/>
    <hyperlink ref="B27" location="null!A1" display="Blackstone (BX)" xr:uid="{00000000-0004-0000-0000-000014000000}"/>
    <hyperlink ref="B28" location="null!A1" display="KKR (KKR)" xr:uid="{00000000-0004-0000-0000-000015000000}"/>
    <hyperlink ref="B29" location="null!A1" display="Ares Management (ARES)" xr:uid="{00000000-0004-0000-0000-000016000000}"/>
    <hyperlink ref="B30" location="null!A1" display="Bain Capital (BC)" xr:uid="{00000000-0004-0000-0000-000017000000}"/>
    <hyperlink ref="B31" location="null!A1" display="Vista Equity Partners (VEP)" xr:uid="{00000000-0004-0000-0000-000018000000}"/>
    <hyperlink ref="B32" location="null!A1" display="Insight Partners (INP)" xr:uid="{00000000-0004-0000-0000-000019000000}"/>
    <hyperlink ref="B34" location="JEF!A1" display="Jefferies (JEF)" xr:uid="{00000000-0004-0000-0000-00001A000000}"/>
    <hyperlink ref="B35" location="null!A1" display="William Blair (WB)" xr:uid="{00000000-0004-0000-0000-00001B000000}"/>
    <hyperlink ref="B36" location="ROTH!A1" display="Rothschild &amp; Co. (ROTH)" xr:uid="{00000000-0004-0000-0000-00001C000000}"/>
    <hyperlink ref="B37" location="null!A1" display="Guggenheim Partners (GUG)" xr:uid="{00000000-0004-0000-0000-00001D000000}"/>
    <hyperlink ref="B38" location="null!A1" display="Wells Fargo (WFC)" xr:uid="{00000000-0004-0000-0000-00001E000000}"/>
    <hyperlink ref="B39" location="null!A1" display="Piper Sandler (PIPR)" xr:uid="{00000000-0004-0000-0000-00001F000000}"/>
    <hyperlink ref="B40" location="null!A1" display="RBC Capital Markets (RY)" xr:uid="{00000000-0004-0000-0000-000020000000}"/>
    <hyperlink ref="B41" location="null!A1" display="Mizuho (MFG)" xr:uid="{00000000-0004-0000-0000-000021000000}"/>
    <hyperlink ref="B43" location="null!A1" display="Nomura (NMR)" xr:uid="{00000000-0004-0000-0000-000022000000}"/>
    <hyperlink ref="B44" location="null!A1" display="Houlihan Lokey (HLI)" xr:uid="{00000000-0004-0000-0000-000023000000}"/>
    <hyperlink ref="B45" location="null!A1" display="Oppenheimer &amp; Co. (OPY)" xr:uid="{00000000-0004-0000-0000-000024000000}"/>
    <hyperlink ref="B47" location="null!A1" display="Raymond James (RJF)" xr:uid="{00000000-0004-0000-0000-000025000000}"/>
    <hyperlink ref="B48" location="null!A1" display="Baird (BRD)" xr:uid="{00000000-0004-0000-0000-000026000000}"/>
    <hyperlink ref="B49" location="null!A1" display="BMO Capital Markets (BMO)" xr:uid="{00000000-0004-0000-0000-000027000000}"/>
    <hyperlink ref="B50" location="null!A1" display="Lincoln International (LIN)" xr:uid="{00000000-0004-0000-0000-000028000000}"/>
    <hyperlink ref="B4" location="GS!A1" display="Goldman Sachs (GS)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pane ySplit="2" topLeftCell="A3" activePane="bottomLeft" state="frozen"/>
      <selection pane="bottomLeft" activeCell="B4" sqref="B4"/>
    </sheetView>
  </sheetViews>
  <sheetFormatPr defaultColWidth="12.6328125" defaultRowHeight="15" customHeight="1"/>
  <cols>
    <col min="1" max="1" width="3.7265625" customWidth="1"/>
    <col min="2" max="2" width="27.7265625" customWidth="1"/>
    <col min="3" max="3" width="21.36328125" customWidth="1"/>
    <col min="4" max="4" width="54.08984375" customWidth="1"/>
    <col min="5" max="6" width="16.90625" customWidth="1"/>
    <col min="7" max="8" width="17" customWidth="1"/>
  </cols>
  <sheetData>
    <row r="1" spans="1:26" ht="18.75" customHeight="1">
      <c r="A1" s="71" t="s">
        <v>0</v>
      </c>
      <c r="B1" s="72"/>
      <c r="C1" s="72"/>
      <c r="D1" s="72"/>
      <c r="E1" s="73" t="s">
        <v>1</v>
      </c>
      <c r="F1" s="72"/>
      <c r="G1" s="72"/>
      <c r="H1" s="7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3.75" customHeight="1">
      <c r="A2" s="4" t="s">
        <v>6</v>
      </c>
      <c r="B2" s="5" t="s">
        <v>7</v>
      </c>
      <c r="C2" s="5" t="s">
        <v>9</v>
      </c>
      <c r="D2" s="5" t="s">
        <v>11</v>
      </c>
      <c r="E2" s="5" t="s">
        <v>13</v>
      </c>
      <c r="F2" s="5" t="s">
        <v>15</v>
      </c>
      <c r="G2" s="5" t="s">
        <v>17</v>
      </c>
      <c r="H2" s="5" t="s">
        <v>19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7.25" customHeight="1">
      <c r="A3" s="6">
        <v>1</v>
      </c>
      <c r="B3" s="7" t="s">
        <v>25</v>
      </c>
      <c r="C3" s="2" t="s">
        <v>27</v>
      </c>
      <c r="D3" s="11" t="s">
        <v>29</v>
      </c>
      <c r="E3" s="12" t="s">
        <v>41</v>
      </c>
      <c r="F3" s="12" t="s">
        <v>41</v>
      </c>
      <c r="G3" s="13"/>
      <c r="H3" s="12" t="s">
        <v>51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7.25" customHeight="1">
      <c r="A4" s="6">
        <v>2</v>
      </c>
      <c r="B4" s="2" t="s">
        <v>59</v>
      </c>
      <c r="C4" s="2" t="s">
        <v>60</v>
      </c>
      <c r="D4" s="11" t="s">
        <v>61</v>
      </c>
      <c r="E4" s="12" t="s">
        <v>63</v>
      </c>
      <c r="F4" s="12" t="s">
        <v>64</v>
      </c>
      <c r="G4" s="13"/>
      <c r="H4" s="12" t="s">
        <v>67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7.25" customHeight="1">
      <c r="A5" s="6">
        <v>3</v>
      </c>
      <c r="B5" s="2" t="s">
        <v>73</v>
      </c>
      <c r="C5" s="2" t="s">
        <v>75</v>
      </c>
      <c r="D5" s="11" t="s">
        <v>77</v>
      </c>
      <c r="E5" s="12" t="s">
        <v>83</v>
      </c>
      <c r="F5" s="12" t="s">
        <v>85</v>
      </c>
      <c r="G5" s="13"/>
      <c r="H5" s="12" t="s">
        <v>67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7.25" customHeight="1">
      <c r="A6" s="6">
        <v>4</v>
      </c>
      <c r="B6" s="2" t="s">
        <v>91</v>
      </c>
      <c r="C6" s="2" t="s">
        <v>92</v>
      </c>
      <c r="D6" s="11" t="s">
        <v>94</v>
      </c>
      <c r="E6" s="12" t="s">
        <v>106</v>
      </c>
      <c r="F6" s="12" t="s">
        <v>106</v>
      </c>
      <c r="G6" s="13"/>
      <c r="H6" s="12" t="s">
        <v>51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7.25" customHeight="1">
      <c r="A7" s="6">
        <v>5</v>
      </c>
      <c r="B7" s="7" t="s">
        <v>25</v>
      </c>
      <c r="C7" s="2" t="s">
        <v>27</v>
      </c>
      <c r="D7" s="11" t="s">
        <v>116</v>
      </c>
      <c r="E7" s="12" t="s">
        <v>63</v>
      </c>
      <c r="F7" s="12" t="s">
        <v>119</v>
      </c>
      <c r="G7" s="13"/>
      <c r="H7" s="12" t="s">
        <v>67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7.25" customHeight="1">
      <c r="A8" s="6">
        <v>6</v>
      </c>
      <c r="B8" s="7" t="s">
        <v>33</v>
      </c>
      <c r="C8" s="2" t="s">
        <v>75</v>
      </c>
      <c r="D8" s="11" t="s">
        <v>123</v>
      </c>
      <c r="E8" s="12" t="s">
        <v>106</v>
      </c>
      <c r="F8" s="12" t="s">
        <v>119</v>
      </c>
      <c r="G8" s="13"/>
      <c r="H8" s="12" t="s">
        <v>67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7.25" customHeight="1">
      <c r="A9" s="6">
        <v>7</v>
      </c>
      <c r="B9" s="7" t="s">
        <v>70</v>
      </c>
      <c r="C9" s="2" t="s">
        <v>27</v>
      </c>
      <c r="D9" s="11" t="s">
        <v>125</v>
      </c>
      <c r="E9" s="12" t="s">
        <v>127</v>
      </c>
      <c r="F9" s="12" t="s">
        <v>127</v>
      </c>
      <c r="G9" s="13"/>
      <c r="H9" s="12" t="s">
        <v>67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7.25" customHeight="1">
      <c r="A10" s="6">
        <v>8</v>
      </c>
      <c r="B10" s="7" t="s">
        <v>135</v>
      </c>
      <c r="C10" s="2" t="s">
        <v>75</v>
      </c>
      <c r="D10" s="11" t="s">
        <v>136</v>
      </c>
      <c r="E10" s="12" t="s">
        <v>139</v>
      </c>
      <c r="F10" s="12" t="s">
        <v>141</v>
      </c>
      <c r="G10" s="13"/>
      <c r="H10" s="12" t="s">
        <v>67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7.25" customHeight="1">
      <c r="A11" s="6">
        <v>9</v>
      </c>
      <c r="B11" s="7" t="s">
        <v>135</v>
      </c>
      <c r="C11" s="2" t="s">
        <v>75</v>
      </c>
      <c r="D11" s="11" t="s">
        <v>144</v>
      </c>
      <c r="E11" s="12" t="s">
        <v>139</v>
      </c>
      <c r="F11" s="12" t="s">
        <v>141</v>
      </c>
      <c r="G11" s="13"/>
      <c r="H11" s="12" t="s">
        <v>67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7.25" customHeight="1">
      <c r="A12" s="6">
        <v>10</v>
      </c>
      <c r="B12" s="7" t="s">
        <v>148</v>
      </c>
      <c r="C12" s="2" t="s">
        <v>150</v>
      </c>
      <c r="D12" s="11" t="s">
        <v>151</v>
      </c>
      <c r="E12" s="12" t="s">
        <v>160</v>
      </c>
      <c r="F12" s="12" t="s">
        <v>160</v>
      </c>
      <c r="G12" s="13"/>
      <c r="H12" s="12" t="s">
        <v>51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7.25" customHeight="1">
      <c r="A13" s="6">
        <v>11</v>
      </c>
      <c r="B13" s="7" t="s">
        <v>167</v>
      </c>
      <c r="C13" s="2" t="s">
        <v>150</v>
      </c>
      <c r="D13" s="11" t="s">
        <v>169</v>
      </c>
      <c r="E13" s="12" t="s">
        <v>63</v>
      </c>
      <c r="F13" s="12" t="s">
        <v>176</v>
      </c>
      <c r="G13" s="13"/>
      <c r="H13" s="12" t="s">
        <v>177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7.25" customHeight="1">
      <c r="A14" s="6">
        <v>12</v>
      </c>
      <c r="B14" s="7" t="s">
        <v>167</v>
      </c>
      <c r="C14" s="2" t="s">
        <v>150</v>
      </c>
      <c r="D14" s="11" t="s">
        <v>183</v>
      </c>
      <c r="E14" s="12" t="s">
        <v>63</v>
      </c>
      <c r="F14" s="12" t="s">
        <v>176</v>
      </c>
      <c r="G14" s="13"/>
      <c r="H14" s="12" t="s">
        <v>177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7.25" customHeight="1">
      <c r="A15" s="6">
        <v>13</v>
      </c>
      <c r="B15" s="7" t="s">
        <v>110</v>
      </c>
      <c r="C15" s="2" t="s">
        <v>27</v>
      </c>
      <c r="D15" s="11" t="s">
        <v>192</v>
      </c>
      <c r="E15" s="12" t="s">
        <v>160</v>
      </c>
      <c r="F15" s="12" t="s">
        <v>193</v>
      </c>
      <c r="G15" s="13"/>
      <c r="H15" s="12" t="s">
        <v>67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7.25" customHeight="1">
      <c r="A16" s="6">
        <v>14</v>
      </c>
      <c r="B16" s="7" t="s">
        <v>26</v>
      </c>
      <c r="C16" s="2" t="s">
        <v>27</v>
      </c>
      <c r="D16" s="11" t="s">
        <v>197</v>
      </c>
      <c r="E16" s="12" t="s">
        <v>200</v>
      </c>
      <c r="F16" s="12" t="s">
        <v>202</v>
      </c>
      <c r="G16" s="13"/>
      <c r="H16" s="12" t="s">
        <v>51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7.25" customHeight="1">
      <c r="A17" s="6">
        <v>15</v>
      </c>
      <c r="B17" s="7" t="s">
        <v>79</v>
      </c>
      <c r="C17" s="2" t="s">
        <v>27</v>
      </c>
      <c r="D17" s="11" t="s">
        <v>203</v>
      </c>
      <c r="E17" s="9" t="s">
        <v>205</v>
      </c>
      <c r="F17" s="9" t="s">
        <v>205</v>
      </c>
      <c r="G17" s="13"/>
      <c r="H17" s="12" t="s">
        <v>67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7.25" customHeight="1">
      <c r="A18" s="6">
        <v>16</v>
      </c>
      <c r="B18" s="7" t="s">
        <v>185</v>
      </c>
      <c r="C18" s="2" t="s">
        <v>27</v>
      </c>
      <c r="D18" s="11" t="s">
        <v>207</v>
      </c>
      <c r="E18" s="12" t="s">
        <v>209</v>
      </c>
      <c r="F18" s="12" t="s">
        <v>209</v>
      </c>
      <c r="G18" s="13"/>
      <c r="H18" s="12" t="s">
        <v>51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7.25" customHeight="1">
      <c r="A19" s="6">
        <v>17</v>
      </c>
      <c r="B19" s="7" t="s">
        <v>212</v>
      </c>
      <c r="C19" s="2" t="s">
        <v>213</v>
      </c>
      <c r="D19" s="11" t="s">
        <v>214</v>
      </c>
      <c r="E19" s="12" t="s">
        <v>215</v>
      </c>
      <c r="F19" s="12" t="s">
        <v>216</v>
      </c>
      <c r="G19" s="13"/>
      <c r="H19" s="12" t="s">
        <v>51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7.25" customHeight="1">
      <c r="A20" s="6">
        <v>18</v>
      </c>
      <c r="B20" s="7" t="s">
        <v>219</v>
      </c>
      <c r="C20" s="2" t="s">
        <v>220</v>
      </c>
      <c r="D20" s="19" t="s">
        <v>221</v>
      </c>
      <c r="E20" s="9" t="s">
        <v>222</v>
      </c>
      <c r="F20" s="9" t="s">
        <v>216</v>
      </c>
      <c r="G20" s="13"/>
      <c r="H20" s="12" t="s">
        <v>223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7.25" customHeight="1">
      <c r="A21" s="6">
        <v>19</v>
      </c>
      <c r="B21" s="7" t="s">
        <v>224</v>
      </c>
      <c r="C21" s="2" t="s">
        <v>27</v>
      </c>
      <c r="D21" s="19" t="s">
        <v>225</v>
      </c>
      <c r="E21" s="9" t="s">
        <v>205</v>
      </c>
      <c r="F21" s="9" t="s">
        <v>229</v>
      </c>
      <c r="G21" s="13"/>
      <c r="H21" s="12" t="s">
        <v>67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7.25" customHeight="1">
      <c r="A22" s="6">
        <v>20</v>
      </c>
      <c r="B22" s="2" t="s">
        <v>73</v>
      </c>
      <c r="C22" s="2" t="s">
        <v>75</v>
      </c>
      <c r="D22" s="19" t="s">
        <v>232</v>
      </c>
      <c r="E22" s="9" t="s">
        <v>234</v>
      </c>
      <c r="F22" s="9" t="s">
        <v>235</v>
      </c>
      <c r="G22" s="13"/>
      <c r="H22" s="12" t="s">
        <v>68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7.25" customHeight="1">
      <c r="A23" s="6">
        <v>21</v>
      </c>
      <c r="B23" s="7" t="s">
        <v>110</v>
      </c>
      <c r="C23" s="2" t="s">
        <v>27</v>
      </c>
      <c r="D23" s="19" t="s">
        <v>240</v>
      </c>
      <c r="E23" s="9" t="s">
        <v>205</v>
      </c>
      <c r="F23" s="9" t="s">
        <v>244</v>
      </c>
      <c r="G23" s="13"/>
      <c r="H23" s="12" t="s">
        <v>245</v>
      </c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7.25" customHeight="1">
      <c r="A24" s="6">
        <v>22</v>
      </c>
      <c r="B24" s="7" t="s">
        <v>248</v>
      </c>
      <c r="C24" s="2" t="s">
        <v>249</v>
      </c>
      <c r="D24" s="19" t="s">
        <v>250</v>
      </c>
      <c r="E24" s="9" t="s">
        <v>63</v>
      </c>
      <c r="F24" s="9" t="s">
        <v>251</v>
      </c>
      <c r="G24" s="13"/>
      <c r="H24" s="12" t="s">
        <v>68</v>
      </c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7.25" customHeight="1">
      <c r="A25" s="6">
        <v>23</v>
      </c>
      <c r="B25" s="7" t="s">
        <v>82</v>
      </c>
      <c r="C25" s="2" t="s">
        <v>27</v>
      </c>
      <c r="D25" s="19" t="s">
        <v>256</v>
      </c>
      <c r="E25" s="9" t="s">
        <v>259</v>
      </c>
      <c r="F25" s="9" t="s">
        <v>260</v>
      </c>
      <c r="G25" s="13"/>
      <c r="H25" s="12" t="s">
        <v>51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7.25" customHeight="1">
      <c r="A26" s="6">
        <v>24</v>
      </c>
      <c r="B26" s="7" t="s">
        <v>112</v>
      </c>
      <c r="C26" s="2" t="s">
        <v>261</v>
      </c>
      <c r="D26" s="19" t="s">
        <v>263</v>
      </c>
      <c r="E26" s="9" t="s">
        <v>259</v>
      </c>
      <c r="F26" s="9" t="s">
        <v>260</v>
      </c>
      <c r="G26" s="13"/>
      <c r="H26" s="12" t="s">
        <v>51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7.25" customHeight="1">
      <c r="A27" s="6">
        <v>25</v>
      </c>
      <c r="B27" s="7" t="s">
        <v>268</v>
      </c>
      <c r="C27" s="2" t="s">
        <v>269</v>
      </c>
      <c r="D27" s="19" t="s">
        <v>270</v>
      </c>
      <c r="E27" s="9" t="s">
        <v>271</v>
      </c>
      <c r="F27" s="9" t="s">
        <v>260</v>
      </c>
      <c r="G27" s="13"/>
      <c r="H27" s="12" t="s">
        <v>51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7.25" customHeight="1">
      <c r="A28" s="6">
        <v>26</v>
      </c>
      <c r="B28" s="7" t="s">
        <v>52</v>
      </c>
      <c r="C28" s="2" t="s">
        <v>150</v>
      </c>
      <c r="D28" s="19" t="s">
        <v>273</v>
      </c>
      <c r="E28" s="9" t="s">
        <v>63</v>
      </c>
      <c r="F28" s="9" t="s">
        <v>275</v>
      </c>
      <c r="G28" s="13"/>
      <c r="H28" s="12" t="s">
        <v>67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7.25" customHeight="1">
      <c r="A29" s="6">
        <v>27</v>
      </c>
      <c r="B29" s="7" t="s">
        <v>277</v>
      </c>
      <c r="C29" s="2" t="s">
        <v>27</v>
      </c>
      <c r="D29" s="19" t="s">
        <v>278</v>
      </c>
      <c r="E29" s="9" t="s">
        <v>282</v>
      </c>
      <c r="F29" s="9" t="s">
        <v>283</v>
      </c>
      <c r="G29" s="13"/>
      <c r="H29" s="12" t="s">
        <v>67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7.25" customHeight="1">
      <c r="A30" s="6">
        <v>28</v>
      </c>
      <c r="B30" s="7" t="s">
        <v>154</v>
      </c>
      <c r="C30" s="2" t="s">
        <v>27</v>
      </c>
      <c r="D30" s="19" t="s">
        <v>285</v>
      </c>
      <c r="E30" s="9" t="s">
        <v>260</v>
      </c>
      <c r="F30" s="9" t="s">
        <v>283</v>
      </c>
      <c r="G30" s="13"/>
      <c r="H30" s="12" t="s">
        <v>289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7.25" customHeight="1">
      <c r="A31" s="6">
        <v>29</v>
      </c>
      <c r="B31" s="7" t="s">
        <v>45</v>
      </c>
      <c r="C31" s="2" t="s">
        <v>27</v>
      </c>
      <c r="D31" s="19" t="s">
        <v>230</v>
      </c>
      <c r="E31" s="9" t="s">
        <v>290</v>
      </c>
      <c r="F31" s="9" t="s">
        <v>291</v>
      </c>
      <c r="G31" s="13"/>
      <c r="H31" s="12" t="s">
        <v>67</v>
      </c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7.25" customHeight="1">
      <c r="A32" s="6">
        <v>30</v>
      </c>
      <c r="B32" s="7" t="s">
        <v>348</v>
      </c>
      <c r="C32" s="2" t="s">
        <v>27</v>
      </c>
      <c r="D32" s="19" t="s">
        <v>168</v>
      </c>
      <c r="E32" s="9" t="s">
        <v>350</v>
      </c>
      <c r="F32" s="9" t="s">
        <v>351</v>
      </c>
      <c r="G32" s="13"/>
      <c r="H32" s="12" t="s">
        <v>353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7.25" customHeight="1">
      <c r="A33" s="6">
        <v>31</v>
      </c>
      <c r="B33" s="7" t="s">
        <v>242</v>
      </c>
      <c r="C33" s="2" t="s">
        <v>27</v>
      </c>
      <c r="D33" s="19" t="s">
        <v>243</v>
      </c>
      <c r="E33" s="9" t="s">
        <v>358</v>
      </c>
      <c r="F33" s="9" t="s">
        <v>351</v>
      </c>
      <c r="G33" s="13"/>
      <c r="H33" s="12" t="s">
        <v>67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7.25" customHeight="1">
      <c r="A34" s="6">
        <v>32</v>
      </c>
      <c r="B34" s="7" t="s">
        <v>32</v>
      </c>
      <c r="C34" s="2" t="s">
        <v>27</v>
      </c>
      <c r="D34" s="19" t="s">
        <v>362</v>
      </c>
      <c r="E34" s="9" t="s">
        <v>365</v>
      </c>
      <c r="F34" s="9" t="s">
        <v>365</v>
      </c>
      <c r="G34" s="13"/>
      <c r="H34" s="12" t="s">
        <v>67</v>
      </c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7.25" customHeight="1">
      <c r="A35" s="6">
        <v>33</v>
      </c>
      <c r="B35" s="7" t="s">
        <v>367</v>
      </c>
      <c r="C35" s="2" t="s">
        <v>27</v>
      </c>
      <c r="D35" s="19" t="s">
        <v>368</v>
      </c>
      <c r="E35" s="9" t="s">
        <v>351</v>
      </c>
      <c r="F35" s="9" t="s">
        <v>365</v>
      </c>
      <c r="G35" s="13"/>
      <c r="H35" s="12" t="s">
        <v>67</v>
      </c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7.25" customHeight="1">
      <c r="A36" s="6">
        <v>34</v>
      </c>
      <c r="B36" s="7" t="s">
        <v>369</v>
      </c>
      <c r="C36" s="2" t="s">
        <v>27</v>
      </c>
      <c r="D36" s="19" t="s">
        <v>370</v>
      </c>
      <c r="E36" s="9" t="s">
        <v>372</v>
      </c>
      <c r="F36" s="9" t="s">
        <v>372</v>
      </c>
      <c r="G36" s="13"/>
      <c r="H36" s="12" t="s">
        <v>67</v>
      </c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7.25" customHeight="1">
      <c r="A37" s="6">
        <v>35</v>
      </c>
      <c r="B37" s="7" t="s">
        <v>79</v>
      </c>
      <c r="C37" s="2" t="s">
        <v>27</v>
      </c>
      <c r="D37" s="19" t="s">
        <v>80</v>
      </c>
      <c r="E37" s="9" t="s">
        <v>379</v>
      </c>
      <c r="F37" s="9" t="s">
        <v>379</v>
      </c>
      <c r="G37" s="13"/>
      <c r="H37" s="12" t="s">
        <v>67</v>
      </c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7.25" customHeight="1">
      <c r="A38" s="6">
        <v>36</v>
      </c>
      <c r="B38" s="7" t="s">
        <v>380</v>
      </c>
      <c r="C38" s="2" t="s">
        <v>27</v>
      </c>
      <c r="D38" s="19" t="s">
        <v>381</v>
      </c>
      <c r="E38" s="9" t="s">
        <v>365</v>
      </c>
      <c r="F38" s="9" t="s">
        <v>382</v>
      </c>
      <c r="G38" s="13"/>
      <c r="H38" s="12" t="s">
        <v>289</v>
      </c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7.25" customHeight="1">
      <c r="A39" s="6">
        <v>37</v>
      </c>
      <c r="B39" s="7" t="s">
        <v>383</v>
      </c>
      <c r="C39" s="2" t="s">
        <v>384</v>
      </c>
      <c r="D39" s="19" t="s">
        <v>385</v>
      </c>
      <c r="E39" s="9" t="s">
        <v>386</v>
      </c>
      <c r="F39" s="9" t="s">
        <v>387</v>
      </c>
      <c r="G39" s="13"/>
      <c r="H39" s="12" t="s">
        <v>67</v>
      </c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7.25" customHeight="1">
      <c r="A40" s="6">
        <v>38</v>
      </c>
      <c r="B40" s="7" t="s">
        <v>388</v>
      </c>
      <c r="C40" s="2" t="s">
        <v>27</v>
      </c>
      <c r="D40" s="19" t="s">
        <v>389</v>
      </c>
      <c r="E40" s="9" t="s">
        <v>390</v>
      </c>
      <c r="F40" s="9" t="s">
        <v>391</v>
      </c>
      <c r="G40" s="13"/>
      <c r="H40" s="12" t="s">
        <v>67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7.25" customHeight="1">
      <c r="A41" s="6">
        <v>39</v>
      </c>
      <c r="B41" s="7" t="s">
        <v>392</v>
      </c>
      <c r="C41" s="2" t="s">
        <v>75</v>
      </c>
      <c r="D41" s="19" t="s">
        <v>393</v>
      </c>
      <c r="E41" s="9" t="s">
        <v>394</v>
      </c>
      <c r="F41" s="9" t="s">
        <v>391</v>
      </c>
      <c r="G41" s="13"/>
      <c r="H41" s="12" t="s">
        <v>177</v>
      </c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7.25" customHeight="1">
      <c r="A42" s="6">
        <v>40</v>
      </c>
      <c r="B42" s="7" t="s">
        <v>97</v>
      </c>
      <c r="C42" s="2" t="s">
        <v>75</v>
      </c>
      <c r="D42" s="19" t="s">
        <v>395</v>
      </c>
      <c r="E42" s="9" t="s">
        <v>396</v>
      </c>
      <c r="F42" s="9" t="s">
        <v>396</v>
      </c>
      <c r="G42" s="13"/>
      <c r="H42" s="12" t="s">
        <v>397</v>
      </c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7.25" customHeight="1">
      <c r="A43" s="6">
        <v>41</v>
      </c>
      <c r="B43" s="7" t="s">
        <v>84</v>
      </c>
      <c r="C43" s="2" t="s">
        <v>398</v>
      </c>
      <c r="D43" s="19" t="s">
        <v>399</v>
      </c>
      <c r="E43" s="9" t="s">
        <v>400</v>
      </c>
      <c r="F43" s="9" t="s">
        <v>400</v>
      </c>
      <c r="G43" s="13"/>
      <c r="H43" s="12" t="s">
        <v>401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7.25" customHeight="1">
      <c r="A44" s="6">
        <v>42</v>
      </c>
      <c r="B44" s="7" t="s">
        <v>367</v>
      </c>
      <c r="C44" s="2" t="s">
        <v>27</v>
      </c>
      <c r="D44" s="19" t="s">
        <v>402</v>
      </c>
      <c r="E44" s="9" t="s">
        <v>400</v>
      </c>
      <c r="F44" s="9" t="s">
        <v>400</v>
      </c>
      <c r="G44" s="13"/>
      <c r="H44" s="12" t="s">
        <v>67</v>
      </c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7.25" customHeight="1">
      <c r="A45" s="6">
        <v>43</v>
      </c>
      <c r="B45" s="7" t="s">
        <v>403</v>
      </c>
      <c r="C45" s="2" t="s">
        <v>150</v>
      </c>
      <c r="D45" s="19" t="s">
        <v>404</v>
      </c>
      <c r="E45" s="9" t="s">
        <v>396</v>
      </c>
      <c r="F45" s="9" t="s">
        <v>400</v>
      </c>
      <c r="G45" s="13"/>
      <c r="H45" s="12" t="s">
        <v>67</v>
      </c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7.25" customHeight="1">
      <c r="A46" s="6">
        <v>44</v>
      </c>
      <c r="B46" s="7" t="s">
        <v>35</v>
      </c>
      <c r="C46" s="2" t="s">
        <v>150</v>
      </c>
      <c r="D46" s="19" t="s">
        <v>405</v>
      </c>
      <c r="E46" s="9" t="s">
        <v>406</v>
      </c>
      <c r="F46" s="9" t="s">
        <v>400</v>
      </c>
      <c r="G46" s="13"/>
      <c r="H46" s="12" t="s">
        <v>407</v>
      </c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7.25" customHeight="1">
      <c r="A47" s="6">
        <v>45</v>
      </c>
      <c r="B47" s="7" t="s">
        <v>70</v>
      </c>
      <c r="C47" s="2" t="s">
        <v>27</v>
      </c>
      <c r="D47" s="19" t="s">
        <v>408</v>
      </c>
      <c r="E47" s="9" t="s">
        <v>386</v>
      </c>
      <c r="F47" s="9" t="s">
        <v>409</v>
      </c>
      <c r="G47" s="13"/>
      <c r="H47" s="12" t="s">
        <v>67</v>
      </c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7.25" customHeight="1">
      <c r="A48" s="6">
        <v>46</v>
      </c>
      <c r="B48" s="7" t="s">
        <v>201</v>
      </c>
      <c r="C48" s="2" t="s">
        <v>27</v>
      </c>
      <c r="D48" s="19" t="s">
        <v>410</v>
      </c>
      <c r="E48" s="9" t="s">
        <v>390</v>
      </c>
      <c r="F48" s="9" t="s">
        <v>411</v>
      </c>
      <c r="G48" s="13"/>
      <c r="H48" s="12" t="s">
        <v>67</v>
      </c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7.25" customHeight="1">
      <c r="A49" s="6">
        <v>47</v>
      </c>
      <c r="B49" s="7" t="s">
        <v>152</v>
      </c>
      <c r="C49" s="2" t="s">
        <v>27</v>
      </c>
      <c r="D49" s="19" t="s">
        <v>412</v>
      </c>
      <c r="E49" s="9" t="s">
        <v>413</v>
      </c>
      <c r="F49" s="9" t="s">
        <v>414</v>
      </c>
      <c r="G49" s="13"/>
      <c r="H49" s="12" t="s">
        <v>67</v>
      </c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7.25" customHeight="1">
      <c r="A50" s="6">
        <v>48</v>
      </c>
      <c r="B50" s="7" t="s">
        <v>415</v>
      </c>
      <c r="C50" s="2" t="s">
        <v>27</v>
      </c>
      <c r="D50" s="19" t="s">
        <v>416</v>
      </c>
      <c r="E50" s="9" t="s">
        <v>417</v>
      </c>
      <c r="F50" s="9" t="s">
        <v>414</v>
      </c>
      <c r="G50" s="13"/>
      <c r="H50" s="12" t="s">
        <v>68</v>
      </c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7.25" customHeight="1">
      <c r="A51" s="6">
        <v>49</v>
      </c>
      <c r="B51" s="7" t="s">
        <v>25</v>
      </c>
      <c r="C51" s="2" t="s">
        <v>27</v>
      </c>
      <c r="D51" s="19" t="s">
        <v>257</v>
      </c>
      <c r="E51" s="9" t="s">
        <v>414</v>
      </c>
      <c r="F51" s="9" t="s">
        <v>414</v>
      </c>
      <c r="G51" s="13"/>
      <c r="H51" s="12" t="s">
        <v>67</v>
      </c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7.25" customHeight="1">
      <c r="A52" s="6">
        <v>50</v>
      </c>
      <c r="B52" s="7" t="s">
        <v>117</v>
      </c>
      <c r="C52" s="2" t="s">
        <v>27</v>
      </c>
      <c r="D52" s="19" t="s">
        <v>363</v>
      </c>
      <c r="E52" s="9" t="s">
        <v>418</v>
      </c>
      <c r="F52" s="9" t="s">
        <v>418</v>
      </c>
      <c r="G52" s="13"/>
      <c r="H52" s="12" t="s">
        <v>67</v>
      </c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7.25" customHeight="1">
      <c r="A53" s="6">
        <v>51</v>
      </c>
      <c r="B53" s="7" t="s">
        <v>419</v>
      </c>
      <c r="C53" s="2" t="s">
        <v>75</v>
      </c>
      <c r="D53" s="19" t="s">
        <v>420</v>
      </c>
      <c r="E53" s="9" t="s">
        <v>418</v>
      </c>
      <c r="F53" s="9" t="s">
        <v>418</v>
      </c>
      <c r="G53" s="13"/>
      <c r="H53" s="12" t="s">
        <v>67</v>
      </c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7.25" customHeight="1">
      <c r="A54" s="6">
        <v>52</v>
      </c>
      <c r="B54" s="7" t="s">
        <v>421</v>
      </c>
      <c r="C54" s="2" t="s">
        <v>249</v>
      </c>
      <c r="D54" s="19" t="s">
        <v>422</v>
      </c>
      <c r="E54" s="9" t="s">
        <v>424</v>
      </c>
      <c r="F54" s="9" t="s">
        <v>424</v>
      </c>
      <c r="G54" s="13"/>
      <c r="H54" s="12" t="s">
        <v>67</v>
      </c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7.25" customHeight="1">
      <c r="A55" s="6">
        <v>53</v>
      </c>
      <c r="B55" s="7" t="s">
        <v>426</v>
      </c>
      <c r="C55" s="2" t="s">
        <v>27</v>
      </c>
      <c r="D55" s="19" t="s">
        <v>427</v>
      </c>
      <c r="E55" s="9" t="s">
        <v>424</v>
      </c>
      <c r="F55" s="9" t="s">
        <v>424</v>
      </c>
      <c r="G55" s="13"/>
      <c r="H55" s="12" t="s">
        <v>67</v>
      </c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7.25" customHeight="1">
      <c r="A56" s="6">
        <v>54</v>
      </c>
      <c r="B56" s="7" t="s">
        <v>369</v>
      </c>
      <c r="C56" s="2" t="s">
        <v>27</v>
      </c>
      <c r="D56" s="19" t="s">
        <v>430</v>
      </c>
      <c r="E56" s="9" t="s">
        <v>418</v>
      </c>
      <c r="F56" s="9" t="s">
        <v>424</v>
      </c>
      <c r="G56" s="13"/>
      <c r="H56" s="12" t="s">
        <v>67</v>
      </c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7.25" customHeight="1">
      <c r="A57" s="6">
        <v>55</v>
      </c>
      <c r="B57" s="7" t="s">
        <v>73</v>
      </c>
      <c r="C57" s="2" t="s">
        <v>75</v>
      </c>
      <c r="D57" s="19" t="s">
        <v>276</v>
      </c>
      <c r="E57" s="9" t="s">
        <v>433</v>
      </c>
      <c r="F57" s="9" t="s">
        <v>424</v>
      </c>
      <c r="G57" s="13"/>
      <c r="H57" s="12" t="s">
        <v>67</v>
      </c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7.25" customHeight="1">
      <c r="A58" s="6">
        <v>56</v>
      </c>
      <c r="B58" s="7" t="s">
        <v>82</v>
      </c>
      <c r="C58" s="2" t="s">
        <v>27</v>
      </c>
      <c r="D58" s="19" t="s">
        <v>326</v>
      </c>
      <c r="E58" s="9" t="s">
        <v>424</v>
      </c>
      <c r="F58" s="9" t="s">
        <v>435</v>
      </c>
      <c r="G58" s="13"/>
      <c r="H58" s="12" t="s">
        <v>67</v>
      </c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7.25" customHeight="1">
      <c r="A59" s="6">
        <v>57</v>
      </c>
      <c r="B59" s="7" t="s">
        <v>86</v>
      </c>
      <c r="C59" s="2" t="s">
        <v>75</v>
      </c>
      <c r="D59" s="19" t="s">
        <v>198</v>
      </c>
      <c r="E59" s="9" t="s">
        <v>435</v>
      </c>
      <c r="F59" s="9" t="s">
        <v>435</v>
      </c>
      <c r="G59" s="13"/>
      <c r="H59" s="12" t="s">
        <v>67</v>
      </c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7.25" customHeight="1">
      <c r="A60" s="6">
        <v>58</v>
      </c>
      <c r="B60" s="7" t="s">
        <v>86</v>
      </c>
      <c r="C60" s="2" t="s">
        <v>75</v>
      </c>
      <c r="D60" s="19" t="s">
        <v>440</v>
      </c>
      <c r="E60" s="9" t="s">
        <v>435</v>
      </c>
      <c r="F60" s="9" t="s">
        <v>435</v>
      </c>
      <c r="G60" s="13"/>
      <c r="H60" s="12" t="s">
        <v>320</v>
      </c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7.25" customHeight="1">
      <c r="A61" s="6">
        <v>59</v>
      </c>
      <c r="B61" s="7" t="s">
        <v>86</v>
      </c>
      <c r="C61" s="2" t="s">
        <v>75</v>
      </c>
      <c r="D61" s="19" t="s">
        <v>442</v>
      </c>
      <c r="E61" s="9" t="s">
        <v>435</v>
      </c>
      <c r="F61" s="9" t="s">
        <v>435</v>
      </c>
      <c r="G61" s="13"/>
      <c r="H61" s="12" t="s">
        <v>67</v>
      </c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7.25" customHeight="1">
      <c r="A62" s="6">
        <v>60</v>
      </c>
      <c r="B62" s="7" t="s">
        <v>444</v>
      </c>
      <c r="C62" s="2" t="s">
        <v>75</v>
      </c>
      <c r="D62" s="19" t="s">
        <v>399</v>
      </c>
      <c r="E62" s="9" t="s">
        <v>433</v>
      </c>
      <c r="F62" s="9" t="s">
        <v>446</v>
      </c>
      <c r="G62" s="13"/>
      <c r="H62" s="12" t="s">
        <v>447</v>
      </c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7.25" customHeight="1">
      <c r="A63" s="6">
        <v>61</v>
      </c>
      <c r="B63" s="7" t="s">
        <v>33</v>
      </c>
      <c r="C63" s="2" t="s">
        <v>75</v>
      </c>
      <c r="D63" s="19" t="s">
        <v>448</v>
      </c>
      <c r="E63" s="9" t="s">
        <v>424</v>
      </c>
      <c r="F63" s="9" t="s">
        <v>446</v>
      </c>
      <c r="G63" s="13"/>
      <c r="H63" s="12" t="s">
        <v>67</v>
      </c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7.25" customHeight="1">
      <c r="A64" s="6">
        <v>62</v>
      </c>
      <c r="B64" s="7" t="s">
        <v>33</v>
      </c>
      <c r="C64" s="2" t="s">
        <v>75</v>
      </c>
      <c r="D64" s="19" t="s">
        <v>449</v>
      </c>
      <c r="E64" s="9" t="s">
        <v>424</v>
      </c>
      <c r="F64" s="9" t="s">
        <v>446</v>
      </c>
      <c r="G64" s="13"/>
      <c r="H64" s="12" t="s">
        <v>67</v>
      </c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7.25" customHeight="1">
      <c r="A65" s="6">
        <v>63</v>
      </c>
      <c r="B65" s="7" t="s">
        <v>33</v>
      </c>
      <c r="C65" s="2" t="s">
        <v>75</v>
      </c>
      <c r="D65" s="19" t="s">
        <v>450</v>
      </c>
      <c r="E65" s="9" t="s">
        <v>424</v>
      </c>
      <c r="F65" s="9" t="s">
        <v>446</v>
      </c>
      <c r="G65" s="13"/>
      <c r="H65" s="12" t="s">
        <v>67</v>
      </c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7.25" customHeight="1">
      <c r="A66" s="6">
        <v>64</v>
      </c>
      <c r="B66" s="7" t="s">
        <v>33</v>
      </c>
      <c r="C66" s="2" t="s">
        <v>75</v>
      </c>
      <c r="D66" s="19" t="s">
        <v>188</v>
      </c>
      <c r="E66" s="9" t="s">
        <v>424</v>
      </c>
      <c r="F66" s="9" t="s">
        <v>446</v>
      </c>
      <c r="G66" s="13"/>
      <c r="H66" s="12" t="s">
        <v>67</v>
      </c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7.25" customHeight="1">
      <c r="A67" s="6">
        <v>65</v>
      </c>
      <c r="B67" s="7" t="s">
        <v>69</v>
      </c>
      <c r="C67" s="2" t="s">
        <v>27</v>
      </c>
      <c r="D67" s="19" t="s">
        <v>298</v>
      </c>
      <c r="E67" s="9" t="s">
        <v>452</v>
      </c>
      <c r="F67" s="9" t="s">
        <v>452</v>
      </c>
      <c r="G67" s="13"/>
      <c r="H67" s="12" t="s">
        <v>67</v>
      </c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7.25" customHeight="1">
      <c r="A68" s="6">
        <v>66</v>
      </c>
      <c r="B68" s="7" t="s">
        <v>171</v>
      </c>
      <c r="C68" s="2" t="s">
        <v>27</v>
      </c>
      <c r="D68" s="19" t="s">
        <v>443</v>
      </c>
      <c r="E68" s="9" t="s">
        <v>453</v>
      </c>
      <c r="F68" s="9" t="s">
        <v>453</v>
      </c>
      <c r="G68" s="13"/>
      <c r="H68" s="12" t="s">
        <v>67</v>
      </c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7.25" customHeight="1">
      <c r="A69" s="6">
        <v>67</v>
      </c>
      <c r="B69" s="7" t="s">
        <v>154</v>
      </c>
      <c r="C69" s="2" t="s">
        <v>27</v>
      </c>
      <c r="D69" s="19" t="s">
        <v>439</v>
      </c>
      <c r="E69" s="9" t="s">
        <v>454</v>
      </c>
      <c r="F69" s="9" t="s">
        <v>455</v>
      </c>
      <c r="G69" s="13"/>
      <c r="H69" s="12" t="s">
        <v>67</v>
      </c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7.25" customHeight="1">
      <c r="A70" s="6">
        <v>68</v>
      </c>
      <c r="B70" s="7" t="s">
        <v>456</v>
      </c>
      <c r="C70" s="2" t="s">
        <v>27</v>
      </c>
      <c r="D70" s="19" t="s">
        <v>145</v>
      </c>
      <c r="E70" s="9" t="s">
        <v>424</v>
      </c>
      <c r="F70" s="9" t="s">
        <v>455</v>
      </c>
      <c r="G70" s="13"/>
      <c r="H70" s="12" t="s">
        <v>397</v>
      </c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7.25" customHeight="1">
      <c r="A71" s="6">
        <v>69</v>
      </c>
      <c r="B71" s="7" t="s">
        <v>457</v>
      </c>
      <c r="C71" s="2" t="s">
        <v>249</v>
      </c>
      <c r="D71" s="19" t="s">
        <v>458</v>
      </c>
      <c r="E71" s="9" t="s">
        <v>358</v>
      </c>
      <c r="F71" s="9" t="s">
        <v>459</v>
      </c>
      <c r="G71" s="13"/>
      <c r="H71" s="12" t="s">
        <v>67</v>
      </c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7.25" customHeight="1">
      <c r="A72" s="6">
        <v>70</v>
      </c>
      <c r="B72" s="7" t="s">
        <v>110</v>
      </c>
      <c r="C72" s="2" t="s">
        <v>27</v>
      </c>
      <c r="D72" s="19" t="s">
        <v>460</v>
      </c>
      <c r="E72" s="9" t="s">
        <v>454</v>
      </c>
      <c r="F72" s="9" t="s">
        <v>459</v>
      </c>
      <c r="G72" s="13"/>
      <c r="H72" s="12" t="s">
        <v>67</v>
      </c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7.25" customHeight="1">
      <c r="A73" s="6">
        <v>71</v>
      </c>
      <c r="B73" s="7" t="s">
        <v>461</v>
      </c>
      <c r="C73" s="2" t="s">
        <v>249</v>
      </c>
      <c r="D73" s="19" t="s">
        <v>462</v>
      </c>
      <c r="E73" s="9" t="s">
        <v>455</v>
      </c>
      <c r="F73" s="9" t="s">
        <v>459</v>
      </c>
      <c r="G73" s="13"/>
      <c r="H73" s="12" t="s">
        <v>67</v>
      </c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7.25" customHeight="1">
      <c r="A74" s="6">
        <v>72</v>
      </c>
      <c r="B74" s="7" t="s">
        <v>463</v>
      </c>
      <c r="C74" s="2" t="s">
        <v>249</v>
      </c>
      <c r="D74" s="19" t="s">
        <v>464</v>
      </c>
      <c r="E74" s="9" t="s">
        <v>455</v>
      </c>
      <c r="F74" s="9" t="s">
        <v>459</v>
      </c>
      <c r="G74" s="13"/>
      <c r="H74" s="12" t="s">
        <v>68</v>
      </c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7.25" customHeight="1">
      <c r="A75" s="6">
        <v>73</v>
      </c>
      <c r="B75" s="7" t="s">
        <v>465</v>
      </c>
      <c r="C75" s="2" t="s">
        <v>249</v>
      </c>
      <c r="D75" s="19" t="s">
        <v>466</v>
      </c>
      <c r="E75" s="9" t="s">
        <v>453</v>
      </c>
      <c r="F75" s="9" t="s">
        <v>459</v>
      </c>
      <c r="G75" s="13"/>
      <c r="H75" s="12" t="s">
        <v>397</v>
      </c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7.25" customHeight="1">
      <c r="A76" s="6">
        <v>74</v>
      </c>
      <c r="B76" s="7" t="s">
        <v>467</v>
      </c>
      <c r="C76" s="2" t="s">
        <v>249</v>
      </c>
      <c r="D76" s="19" t="s">
        <v>468</v>
      </c>
      <c r="E76" s="9" t="s">
        <v>469</v>
      </c>
      <c r="F76" s="9" t="s">
        <v>469</v>
      </c>
      <c r="G76" s="13"/>
      <c r="H76" s="12" t="s">
        <v>67</v>
      </c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7.25" customHeight="1">
      <c r="A77" s="6">
        <v>75</v>
      </c>
      <c r="B77" s="7" t="s">
        <v>161</v>
      </c>
      <c r="C77" s="2" t="s">
        <v>27</v>
      </c>
      <c r="D77" s="19" t="s">
        <v>470</v>
      </c>
      <c r="E77" s="9" t="s">
        <v>418</v>
      </c>
      <c r="F77" s="9" t="s">
        <v>469</v>
      </c>
      <c r="G77" s="13"/>
      <c r="H77" s="12" t="s">
        <v>67</v>
      </c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7.25" customHeight="1">
      <c r="A78" s="6">
        <v>76</v>
      </c>
      <c r="B78" s="7" t="s">
        <v>154</v>
      </c>
      <c r="C78" s="2" t="s">
        <v>27</v>
      </c>
      <c r="D78" s="19" t="s">
        <v>471</v>
      </c>
      <c r="E78" s="9" t="s">
        <v>454</v>
      </c>
      <c r="F78" s="9" t="s">
        <v>472</v>
      </c>
      <c r="G78" s="13"/>
      <c r="H78" s="12" t="s">
        <v>67</v>
      </c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7.25" customHeight="1">
      <c r="A79" s="6">
        <v>77</v>
      </c>
      <c r="B79" s="7" t="s">
        <v>194</v>
      </c>
      <c r="C79" s="2" t="s">
        <v>27</v>
      </c>
      <c r="D79" s="19" t="s">
        <v>445</v>
      </c>
      <c r="E79" s="9" t="s">
        <v>473</v>
      </c>
      <c r="F79" s="9" t="s">
        <v>473</v>
      </c>
      <c r="G79" s="13"/>
      <c r="H79" s="12" t="s">
        <v>67</v>
      </c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7.25" customHeight="1">
      <c r="A80" s="6">
        <v>78</v>
      </c>
      <c r="B80" s="7" t="s">
        <v>474</v>
      </c>
      <c r="C80" s="2" t="s">
        <v>75</v>
      </c>
      <c r="D80" s="19" t="s">
        <v>475</v>
      </c>
      <c r="E80" s="9" t="s">
        <v>480</v>
      </c>
      <c r="F80" s="9" t="s">
        <v>480</v>
      </c>
      <c r="G80" s="13"/>
      <c r="H80" s="12" t="s">
        <v>67</v>
      </c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7.25" customHeight="1">
      <c r="A81" s="6">
        <v>79</v>
      </c>
      <c r="B81" s="7" t="s">
        <v>482</v>
      </c>
      <c r="C81" s="2" t="s">
        <v>75</v>
      </c>
      <c r="D81" s="19" t="s">
        <v>483</v>
      </c>
      <c r="E81" s="9" t="s">
        <v>480</v>
      </c>
      <c r="F81" s="9" t="s">
        <v>480</v>
      </c>
      <c r="G81" s="13"/>
      <c r="H81" s="12" t="s">
        <v>320</v>
      </c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7.25" customHeight="1">
      <c r="A82" s="6">
        <v>80</v>
      </c>
      <c r="B82" s="7" t="s">
        <v>143</v>
      </c>
      <c r="C82" s="2" t="s">
        <v>27</v>
      </c>
      <c r="D82" s="19" t="s">
        <v>484</v>
      </c>
      <c r="E82" s="9" t="s">
        <v>485</v>
      </c>
      <c r="F82" s="9" t="s">
        <v>485</v>
      </c>
      <c r="G82" s="13"/>
      <c r="H82" s="12" t="s">
        <v>67</v>
      </c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7.25" customHeight="1">
      <c r="A83" s="6">
        <v>81</v>
      </c>
      <c r="B83" s="7" t="s">
        <v>486</v>
      </c>
      <c r="C83" s="2" t="s">
        <v>27</v>
      </c>
      <c r="D83" s="19" t="s">
        <v>487</v>
      </c>
      <c r="E83" s="9" t="s">
        <v>485</v>
      </c>
      <c r="F83" s="9" t="s">
        <v>485</v>
      </c>
      <c r="G83" s="13"/>
      <c r="H83" s="12" t="s">
        <v>67</v>
      </c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7.25" customHeight="1">
      <c r="A84" s="6">
        <v>82</v>
      </c>
      <c r="B84" s="7" t="s">
        <v>488</v>
      </c>
      <c r="C84" s="2" t="s">
        <v>27</v>
      </c>
      <c r="D84" s="19" t="s">
        <v>489</v>
      </c>
      <c r="E84" s="9" t="s">
        <v>485</v>
      </c>
      <c r="F84" s="9" t="s">
        <v>485</v>
      </c>
      <c r="G84" s="13"/>
      <c r="H84" s="12" t="s">
        <v>67</v>
      </c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7.25" customHeight="1">
      <c r="A85" s="6">
        <v>83</v>
      </c>
      <c r="B85" s="7" t="s">
        <v>490</v>
      </c>
      <c r="C85" s="2" t="s">
        <v>27</v>
      </c>
      <c r="D85" s="19" t="s">
        <v>491</v>
      </c>
      <c r="E85" s="9" t="s">
        <v>485</v>
      </c>
      <c r="F85" s="9" t="s">
        <v>485</v>
      </c>
      <c r="G85" s="13"/>
      <c r="H85" s="12" t="s">
        <v>67</v>
      </c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7.25" customHeight="1">
      <c r="A86" s="6">
        <v>84</v>
      </c>
      <c r="B86" s="7" t="s">
        <v>492</v>
      </c>
      <c r="C86" s="2" t="s">
        <v>27</v>
      </c>
      <c r="D86" s="19" t="s">
        <v>145</v>
      </c>
      <c r="E86" s="9" t="s">
        <v>495</v>
      </c>
      <c r="F86" s="9" t="s">
        <v>495</v>
      </c>
      <c r="G86" s="13"/>
      <c r="H86" s="12" t="s">
        <v>289</v>
      </c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7.25" customHeight="1">
      <c r="A87" s="6">
        <v>85</v>
      </c>
      <c r="B87" s="7" t="s">
        <v>500</v>
      </c>
      <c r="C87" s="2" t="s">
        <v>75</v>
      </c>
      <c r="D87" s="19" t="s">
        <v>502</v>
      </c>
      <c r="E87" s="9" t="s">
        <v>503</v>
      </c>
      <c r="F87" s="9" t="s">
        <v>504</v>
      </c>
      <c r="G87" s="13"/>
      <c r="H87" s="12" t="s">
        <v>67</v>
      </c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7.25" customHeight="1">
      <c r="A88" s="6">
        <v>86</v>
      </c>
      <c r="B88" s="7" t="s">
        <v>506</v>
      </c>
      <c r="C88" s="2" t="s">
        <v>75</v>
      </c>
      <c r="D88" s="19" t="s">
        <v>508</v>
      </c>
      <c r="E88" s="9" t="s">
        <v>473</v>
      </c>
      <c r="F88" s="9" t="s">
        <v>504</v>
      </c>
      <c r="G88" s="13"/>
      <c r="H88" s="12" t="s">
        <v>67</v>
      </c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7.25" customHeight="1">
      <c r="A89" s="6">
        <v>87</v>
      </c>
      <c r="B89" s="7" t="s">
        <v>512</v>
      </c>
      <c r="C89" s="2" t="s">
        <v>75</v>
      </c>
      <c r="D89" s="19" t="s">
        <v>513</v>
      </c>
      <c r="E89" s="9" t="s">
        <v>503</v>
      </c>
      <c r="F89" s="9" t="s">
        <v>504</v>
      </c>
      <c r="G89" s="13"/>
      <c r="H89" s="12" t="s">
        <v>177</v>
      </c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7.25" customHeight="1">
      <c r="A90" s="6">
        <v>88</v>
      </c>
      <c r="B90" s="7" t="s">
        <v>514</v>
      </c>
      <c r="C90" s="2" t="s">
        <v>27</v>
      </c>
      <c r="D90" s="19" t="s">
        <v>515</v>
      </c>
      <c r="E90" s="9" t="s">
        <v>504</v>
      </c>
      <c r="F90" s="9" t="s">
        <v>504</v>
      </c>
      <c r="G90" s="13"/>
      <c r="H90" s="12" t="s">
        <v>67</v>
      </c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7.25" customHeight="1">
      <c r="A91" s="6">
        <v>89</v>
      </c>
      <c r="B91" s="7" t="s">
        <v>516</v>
      </c>
      <c r="C91" s="2" t="s">
        <v>150</v>
      </c>
      <c r="D91" s="19" t="s">
        <v>517</v>
      </c>
      <c r="E91" s="9" t="s">
        <v>518</v>
      </c>
      <c r="F91" s="9" t="s">
        <v>504</v>
      </c>
      <c r="G91" s="13"/>
      <c r="H91" s="12" t="s">
        <v>67</v>
      </c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7.25" customHeight="1">
      <c r="A92" s="6">
        <v>90</v>
      </c>
      <c r="B92" s="7" t="s">
        <v>519</v>
      </c>
      <c r="C92" s="2" t="s">
        <v>249</v>
      </c>
      <c r="D92" s="19" t="s">
        <v>520</v>
      </c>
      <c r="E92" s="9" t="s">
        <v>504</v>
      </c>
      <c r="F92" s="9" t="s">
        <v>504</v>
      </c>
      <c r="G92" s="13"/>
      <c r="H92" s="12" t="s">
        <v>397</v>
      </c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7.25" customHeight="1">
      <c r="A93" s="6">
        <v>91</v>
      </c>
      <c r="B93" s="7" t="s">
        <v>419</v>
      </c>
      <c r="C93" s="2" t="s">
        <v>75</v>
      </c>
      <c r="D93" s="19" t="s">
        <v>521</v>
      </c>
      <c r="E93" s="9" t="s">
        <v>522</v>
      </c>
      <c r="F93" s="9" t="s">
        <v>522</v>
      </c>
      <c r="G93" s="13"/>
      <c r="H93" s="12" t="s">
        <v>397</v>
      </c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7.25" customHeight="1">
      <c r="A94" s="6">
        <v>92</v>
      </c>
      <c r="B94" s="7" t="s">
        <v>44</v>
      </c>
      <c r="C94" s="2" t="s">
        <v>27</v>
      </c>
      <c r="D94" s="19" t="s">
        <v>145</v>
      </c>
      <c r="E94" s="9" t="s">
        <v>522</v>
      </c>
      <c r="F94" s="9" t="s">
        <v>523</v>
      </c>
      <c r="G94" s="13"/>
      <c r="H94" s="12" t="s">
        <v>67</v>
      </c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7.25" customHeight="1">
      <c r="A95" s="6">
        <v>93</v>
      </c>
      <c r="B95" s="7" t="s">
        <v>95</v>
      </c>
      <c r="C95" s="2" t="s">
        <v>27</v>
      </c>
      <c r="D95" s="19" t="s">
        <v>118</v>
      </c>
      <c r="E95" s="9" t="s">
        <v>524</v>
      </c>
      <c r="F95" s="9" t="s">
        <v>524</v>
      </c>
      <c r="G95" s="13"/>
      <c r="H95" s="12" t="s">
        <v>67</v>
      </c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7.25" customHeight="1">
      <c r="A96" s="6">
        <v>94</v>
      </c>
      <c r="B96" s="7" t="s">
        <v>392</v>
      </c>
      <c r="C96" s="2" t="s">
        <v>75</v>
      </c>
      <c r="D96" s="19" t="s">
        <v>525</v>
      </c>
      <c r="E96" s="9" t="s">
        <v>518</v>
      </c>
      <c r="F96" s="9" t="s">
        <v>524</v>
      </c>
      <c r="G96" s="13"/>
      <c r="H96" s="12" t="s">
        <v>177</v>
      </c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7.25" customHeight="1">
      <c r="A97" s="6">
        <v>95</v>
      </c>
      <c r="B97" s="7" t="s">
        <v>526</v>
      </c>
      <c r="C97" s="2" t="s">
        <v>75</v>
      </c>
      <c r="D97" s="19" t="s">
        <v>527</v>
      </c>
      <c r="E97" s="9" t="s">
        <v>518</v>
      </c>
      <c r="F97" s="9" t="s">
        <v>524</v>
      </c>
      <c r="G97" s="13"/>
      <c r="H97" s="12" t="s">
        <v>68</v>
      </c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7.25" customHeight="1">
      <c r="A98" s="6">
        <v>96</v>
      </c>
      <c r="B98" s="7" t="s">
        <v>148</v>
      </c>
      <c r="C98" s="2" t="s">
        <v>150</v>
      </c>
      <c r="D98" s="19" t="s">
        <v>528</v>
      </c>
      <c r="E98" s="9" t="s">
        <v>480</v>
      </c>
      <c r="F98" s="9" t="s">
        <v>529</v>
      </c>
      <c r="G98" s="13"/>
      <c r="H98" s="12" t="s">
        <v>67</v>
      </c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7.25" customHeight="1">
      <c r="A99" s="6">
        <v>97</v>
      </c>
      <c r="B99" s="7" t="s">
        <v>129</v>
      </c>
      <c r="C99" s="2" t="s">
        <v>27</v>
      </c>
      <c r="D99" s="19" t="s">
        <v>530</v>
      </c>
      <c r="E99" s="9" t="s">
        <v>529</v>
      </c>
      <c r="F99" s="9" t="s">
        <v>529</v>
      </c>
      <c r="G99" s="13"/>
      <c r="H99" s="12" t="s">
        <v>67</v>
      </c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7.25" customHeight="1">
      <c r="A100" s="6">
        <v>98</v>
      </c>
      <c r="B100" s="7" t="s">
        <v>531</v>
      </c>
      <c r="C100" s="2" t="s">
        <v>27</v>
      </c>
      <c r="D100" s="19" t="s">
        <v>532</v>
      </c>
      <c r="E100" s="9" t="s">
        <v>533</v>
      </c>
      <c r="F100" s="9" t="s">
        <v>534</v>
      </c>
      <c r="G100" s="13"/>
      <c r="H100" s="12" t="s">
        <v>67</v>
      </c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7.25" customHeight="1">
      <c r="A101" s="6">
        <v>99</v>
      </c>
      <c r="B101" s="7" t="s">
        <v>535</v>
      </c>
      <c r="C101" s="2" t="s">
        <v>536</v>
      </c>
      <c r="D101" s="19" t="s">
        <v>537</v>
      </c>
      <c r="E101" s="9" t="s">
        <v>418</v>
      </c>
      <c r="F101" s="9" t="s">
        <v>534</v>
      </c>
      <c r="G101" s="13"/>
      <c r="H101" s="12" t="s">
        <v>67</v>
      </c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7.25" customHeight="1">
      <c r="A102" s="6">
        <v>100</v>
      </c>
      <c r="B102" s="7" t="s">
        <v>538</v>
      </c>
      <c r="C102" s="2" t="s">
        <v>27</v>
      </c>
      <c r="D102" s="19" t="s">
        <v>539</v>
      </c>
      <c r="E102" s="9" t="s">
        <v>529</v>
      </c>
      <c r="F102" s="9" t="s">
        <v>534</v>
      </c>
      <c r="G102" s="13"/>
      <c r="H102" s="12" t="s">
        <v>67</v>
      </c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7.25" customHeight="1">
      <c r="A103" s="6">
        <v>101</v>
      </c>
      <c r="B103" s="7" t="s">
        <v>540</v>
      </c>
      <c r="C103" s="2" t="s">
        <v>27</v>
      </c>
      <c r="D103" s="19" t="s">
        <v>541</v>
      </c>
      <c r="E103" s="9" t="s">
        <v>529</v>
      </c>
      <c r="F103" s="9" t="s">
        <v>542</v>
      </c>
      <c r="G103" s="13"/>
      <c r="H103" s="12" t="s">
        <v>67</v>
      </c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7.25" customHeight="1">
      <c r="A104" s="6">
        <v>102</v>
      </c>
      <c r="B104" s="14" t="s">
        <v>45</v>
      </c>
      <c r="C104" s="2" t="s">
        <v>27</v>
      </c>
      <c r="D104" s="19" t="s">
        <v>543</v>
      </c>
      <c r="E104" s="9" t="s">
        <v>522</v>
      </c>
      <c r="F104" s="9" t="s">
        <v>542</v>
      </c>
      <c r="G104" s="13"/>
      <c r="H104" s="12" t="s">
        <v>67</v>
      </c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7.25" customHeight="1">
      <c r="A105" s="6">
        <v>103</v>
      </c>
      <c r="B105" s="14" t="s">
        <v>544</v>
      </c>
      <c r="C105" s="2" t="s">
        <v>27</v>
      </c>
      <c r="D105" s="19" t="s">
        <v>545</v>
      </c>
      <c r="E105" s="9" t="s">
        <v>542</v>
      </c>
      <c r="F105" s="9" t="s">
        <v>542</v>
      </c>
      <c r="G105" s="13"/>
      <c r="H105" s="12" t="s">
        <v>67</v>
      </c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7.25" customHeight="1">
      <c r="A106" s="6">
        <v>104</v>
      </c>
      <c r="B106" s="14" t="s">
        <v>546</v>
      </c>
      <c r="C106" s="2" t="s">
        <v>27</v>
      </c>
      <c r="D106" s="19" t="s">
        <v>547</v>
      </c>
      <c r="E106" s="9" t="s">
        <v>548</v>
      </c>
      <c r="F106" s="9" t="s">
        <v>548</v>
      </c>
      <c r="G106" s="13"/>
      <c r="H106" s="12" t="s">
        <v>67</v>
      </c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7.25" customHeight="1">
      <c r="A107" s="6">
        <v>105</v>
      </c>
      <c r="B107" s="14" t="s">
        <v>549</v>
      </c>
      <c r="C107" s="2" t="s">
        <v>75</v>
      </c>
      <c r="D107" s="19" t="s">
        <v>550</v>
      </c>
      <c r="E107" s="9" t="s">
        <v>548</v>
      </c>
      <c r="F107" s="9" t="s">
        <v>551</v>
      </c>
      <c r="G107" s="13"/>
      <c r="H107" s="12" t="s">
        <v>397</v>
      </c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7.25" customHeight="1">
      <c r="A108" s="6">
        <v>106</v>
      </c>
      <c r="B108" s="14" t="s">
        <v>552</v>
      </c>
      <c r="C108" s="2" t="s">
        <v>27</v>
      </c>
      <c r="D108" s="19" t="s">
        <v>553</v>
      </c>
      <c r="E108" s="9" t="s">
        <v>554</v>
      </c>
      <c r="F108" s="9" t="s">
        <v>554</v>
      </c>
      <c r="G108" s="13"/>
      <c r="H108" s="12" t="s">
        <v>67</v>
      </c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7.25" customHeight="1">
      <c r="A109" s="6">
        <v>107</v>
      </c>
      <c r="B109" s="14" t="s">
        <v>195</v>
      </c>
      <c r="C109" s="2" t="s">
        <v>27</v>
      </c>
      <c r="D109" s="19" t="s">
        <v>555</v>
      </c>
      <c r="E109" s="9" t="s">
        <v>418</v>
      </c>
      <c r="F109" s="9" t="s">
        <v>554</v>
      </c>
      <c r="G109" s="13"/>
      <c r="H109" s="12" t="s">
        <v>67</v>
      </c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7.25" customHeight="1">
      <c r="A110" s="6">
        <v>108</v>
      </c>
      <c r="B110" s="14" t="s">
        <v>81</v>
      </c>
      <c r="C110" s="2" t="s">
        <v>27</v>
      </c>
      <c r="D110" s="19" t="s">
        <v>266</v>
      </c>
      <c r="E110" s="9" t="s">
        <v>556</v>
      </c>
      <c r="F110" s="9" t="s">
        <v>556</v>
      </c>
      <c r="G110" s="13"/>
      <c r="H110" s="12" t="s">
        <v>67</v>
      </c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7.25" customHeight="1">
      <c r="A111" s="6">
        <v>109</v>
      </c>
      <c r="B111" s="14" t="s">
        <v>557</v>
      </c>
      <c r="C111" s="2" t="s">
        <v>27</v>
      </c>
      <c r="D111" s="19" t="s">
        <v>558</v>
      </c>
      <c r="E111" s="9" t="s">
        <v>556</v>
      </c>
      <c r="F111" s="9" t="s">
        <v>556</v>
      </c>
      <c r="G111" s="13"/>
      <c r="H111" s="12" t="s">
        <v>67</v>
      </c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7.25" customHeight="1">
      <c r="A112" s="6">
        <v>110</v>
      </c>
      <c r="B112" s="14" t="s">
        <v>31</v>
      </c>
      <c r="C112" s="2" t="s">
        <v>27</v>
      </c>
      <c r="D112" s="19" t="s">
        <v>559</v>
      </c>
      <c r="E112" s="9" t="s">
        <v>556</v>
      </c>
      <c r="F112" s="9" t="s">
        <v>556</v>
      </c>
      <c r="G112" s="13"/>
      <c r="H112" s="12" t="s">
        <v>67</v>
      </c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7.25" customHeight="1">
      <c r="A113" s="6">
        <v>111</v>
      </c>
      <c r="B113" s="14" t="s">
        <v>31</v>
      </c>
      <c r="C113" s="2" t="s">
        <v>27</v>
      </c>
      <c r="D113" s="19" t="s">
        <v>560</v>
      </c>
      <c r="E113" s="9" t="s">
        <v>556</v>
      </c>
      <c r="F113" s="9" t="s">
        <v>556</v>
      </c>
      <c r="G113" s="13"/>
      <c r="H113" s="12" t="s">
        <v>67</v>
      </c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7.25" customHeight="1">
      <c r="A114" s="6">
        <v>112</v>
      </c>
      <c r="B114" s="14" t="s">
        <v>562</v>
      </c>
      <c r="C114" s="2" t="s">
        <v>27</v>
      </c>
      <c r="D114" s="19" t="s">
        <v>563</v>
      </c>
      <c r="E114" s="9" t="s">
        <v>556</v>
      </c>
      <c r="F114" s="9" t="s">
        <v>556</v>
      </c>
      <c r="G114" s="13"/>
      <c r="H114" s="12" t="s">
        <v>67</v>
      </c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7.25" customHeight="1">
      <c r="A115" s="6">
        <v>113</v>
      </c>
      <c r="B115" s="14" t="s">
        <v>95</v>
      </c>
      <c r="C115" s="2" t="s">
        <v>27</v>
      </c>
      <c r="D115" s="19" t="s">
        <v>565</v>
      </c>
      <c r="E115" s="9" t="s">
        <v>556</v>
      </c>
      <c r="F115" s="9" t="s">
        <v>556</v>
      </c>
      <c r="G115" s="13"/>
      <c r="H115" s="12" t="s">
        <v>67</v>
      </c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7.25" customHeight="1">
      <c r="A116" s="6">
        <v>114</v>
      </c>
      <c r="B116" s="7" t="s">
        <v>461</v>
      </c>
      <c r="C116" s="2" t="s">
        <v>249</v>
      </c>
      <c r="D116" s="19" t="s">
        <v>570</v>
      </c>
      <c r="E116" s="9" t="s">
        <v>548</v>
      </c>
      <c r="F116" s="9" t="s">
        <v>556</v>
      </c>
      <c r="G116" s="13"/>
      <c r="H116" s="12" t="s">
        <v>67</v>
      </c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7.25" customHeight="1">
      <c r="A117" s="6">
        <v>115</v>
      </c>
      <c r="B117" s="7" t="s">
        <v>76</v>
      </c>
      <c r="C117" s="2" t="s">
        <v>249</v>
      </c>
      <c r="D117" s="19" t="s">
        <v>583</v>
      </c>
      <c r="E117" s="9" t="s">
        <v>556</v>
      </c>
      <c r="F117" s="9" t="s">
        <v>556</v>
      </c>
      <c r="G117" s="13"/>
      <c r="H117" s="12" t="s">
        <v>67</v>
      </c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7.25" customHeight="1">
      <c r="A118" s="6">
        <v>116</v>
      </c>
      <c r="B118" s="7" t="s">
        <v>584</v>
      </c>
      <c r="C118" s="2" t="s">
        <v>27</v>
      </c>
      <c r="D118" s="19" t="s">
        <v>585</v>
      </c>
      <c r="E118" s="9" t="s">
        <v>586</v>
      </c>
      <c r="F118" s="9" t="s">
        <v>586</v>
      </c>
      <c r="G118" s="13"/>
      <c r="H118" s="12" t="s">
        <v>67</v>
      </c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7.25" customHeight="1">
      <c r="A119" s="6">
        <v>117</v>
      </c>
      <c r="B119" s="7" t="s">
        <v>152</v>
      </c>
      <c r="C119" s="2" t="s">
        <v>27</v>
      </c>
      <c r="D119" s="19" t="s">
        <v>587</v>
      </c>
      <c r="E119" s="9" t="s">
        <v>586</v>
      </c>
      <c r="F119" s="9" t="s">
        <v>588</v>
      </c>
      <c r="G119" s="13"/>
      <c r="H119" s="12" t="s">
        <v>67</v>
      </c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7.25" customHeight="1">
      <c r="A120" s="6">
        <v>118</v>
      </c>
      <c r="B120" s="7" t="s">
        <v>589</v>
      </c>
      <c r="C120" s="2" t="s">
        <v>150</v>
      </c>
      <c r="D120" s="19" t="s">
        <v>136</v>
      </c>
      <c r="E120" s="9" t="s">
        <v>586</v>
      </c>
      <c r="F120" s="9" t="s">
        <v>588</v>
      </c>
      <c r="G120" s="13"/>
      <c r="H120" s="12" t="s">
        <v>397</v>
      </c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7.25" customHeight="1">
      <c r="A121" s="6">
        <v>119</v>
      </c>
      <c r="B121" s="7" t="s">
        <v>590</v>
      </c>
      <c r="C121" s="2" t="s">
        <v>249</v>
      </c>
      <c r="D121" s="19" t="s">
        <v>591</v>
      </c>
      <c r="E121" s="9" t="s">
        <v>586</v>
      </c>
      <c r="F121" s="9" t="s">
        <v>588</v>
      </c>
      <c r="G121" s="13"/>
      <c r="H121" s="12" t="s">
        <v>320</v>
      </c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7.25" customHeight="1">
      <c r="A122" s="6">
        <v>120</v>
      </c>
      <c r="B122" s="7" t="s">
        <v>592</v>
      </c>
      <c r="C122" s="2" t="s">
        <v>150</v>
      </c>
      <c r="D122" s="19" t="s">
        <v>593</v>
      </c>
      <c r="E122" s="9" t="s">
        <v>586</v>
      </c>
      <c r="F122" s="9" t="s">
        <v>588</v>
      </c>
      <c r="G122" s="13"/>
      <c r="H122" s="12" t="s">
        <v>67</v>
      </c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7.25" customHeight="1">
      <c r="A123" s="6">
        <v>121</v>
      </c>
      <c r="B123" s="7" t="s">
        <v>594</v>
      </c>
      <c r="C123" s="2" t="s">
        <v>27</v>
      </c>
      <c r="D123" s="19" t="s">
        <v>595</v>
      </c>
      <c r="E123" s="9" t="s">
        <v>586</v>
      </c>
      <c r="F123" s="9" t="s">
        <v>588</v>
      </c>
      <c r="G123" s="13"/>
      <c r="H123" s="12" t="s">
        <v>397</v>
      </c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7.25" customHeight="1">
      <c r="A124" s="6">
        <v>122</v>
      </c>
      <c r="B124" s="7" t="s">
        <v>596</v>
      </c>
      <c r="C124" s="2" t="s">
        <v>75</v>
      </c>
      <c r="D124" s="19" t="s">
        <v>597</v>
      </c>
      <c r="E124" s="9" t="s">
        <v>599</v>
      </c>
      <c r="F124" s="9" t="s">
        <v>599</v>
      </c>
      <c r="G124" s="13"/>
      <c r="H124" s="12" t="s">
        <v>68</v>
      </c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7.25" customHeight="1">
      <c r="A125" s="6">
        <v>123</v>
      </c>
      <c r="B125" s="7" t="s">
        <v>601</v>
      </c>
      <c r="C125" s="2" t="s">
        <v>27</v>
      </c>
      <c r="D125" s="19" t="s">
        <v>603</v>
      </c>
      <c r="E125" s="9" t="s">
        <v>607</v>
      </c>
      <c r="F125" s="9" t="s">
        <v>607</v>
      </c>
      <c r="G125" s="13"/>
      <c r="H125" s="12" t="s">
        <v>67</v>
      </c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7.25" customHeight="1">
      <c r="A126" s="6">
        <v>124</v>
      </c>
      <c r="B126" s="7" t="s">
        <v>608</v>
      </c>
      <c r="C126" s="2" t="s">
        <v>213</v>
      </c>
      <c r="D126" s="19" t="s">
        <v>609</v>
      </c>
      <c r="E126" s="9" t="s">
        <v>611</v>
      </c>
      <c r="F126" s="9" t="s">
        <v>607</v>
      </c>
      <c r="G126" s="13"/>
      <c r="H126" s="12" t="s">
        <v>67</v>
      </c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7.25" customHeight="1">
      <c r="A127" s="6">
        <v>125</v>
      </c>
      <c r="B127" s="7" t="s">
        <v>86</v>
      </c>
      <c r="C127" s="2" t="s">
        <v>75</v>
      </c>
      <c r="D127" s="19" t="s">
        <v>612</v>
      </c>
      <c r="E127" s="9" t="s">
        <v>613</v>
      </c>
      <c r="F127" s="9" t="s">
        <v>613</v>
      </c>
      <c r="G127" s="13"/>
      <c r="H127" s="12" t="s">
        <v>67</v>
      </c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7.25" customHeight="1">
      <c r="A128" s="6">
        <v>126</v>
      </c>
      <c r="B128" s="7" t="s">
        <v>100</v>
      </c>
      <c r="C128" s="2" t="s">
        <v>249</v>
      </c>
      <c r="D128" s="19" t="s">
        <v>614</v>
      </c>
      <c r="E128" s="9" t="s">
        <v>615</v>
      </c>
      <c r="F128" s="9" t="s">
        <v>615</v>
      </c>
      <c r="G128" s="13"/>
      <c r="H128" s="12" t="s">
        <v>67</v>
      </c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7.25" customHeight="1">
      <c r="A129" s="6">
        <v>127</v>
      </c>
      <c r="B129" s="7" t="s">
        <v>616</v>
      </c>
      <c r="C129" s="2" t="s">
        <v>27</v>
      </c>
      <c r="D129" s="19" t="s">
        <v>617</v>
      </c>
      <c r="E129" s="9" t="s">
        <v>618</v>
      </c>
      <c r="F129" s="9" t="s">
        <v>619</v>
      </c>
      <c r="G129" s="13"/>
      <c r="H129" s="12" t="s">
        <v>67</v>
      </c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7.25" customHeight="1">
      <c r="A130" s="6">
        <v>128</v>
      </c>
      <c r="B130" s="7" t="s">
        <v>620</v>
      </c>
      <c r="C130" s="2" t="s">
        <v>27</v>
      </c>
      <c r="D130" s="19" t="s">
        <v>621</v>
      </c>
      <c r="E130" s="9" t="s">
        <v>619</v>
      </c>
      <c r="F130" s="9" t="s">
        <v>619</v>
      </c>
      <c r="G130" s="13"/>
      <c r="H130" s="12" t="s">
        <v>67</v>
      </c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7.25" customHeight="1">
      <c r="A131" s="6">
        <v>129</v>
      </c>
      <c r="B131" s="7" t="s">
        <v>622</v>
      </c>
      <c r="C131" s="2" t="s">
        <v>249</v>
      </c>
      <c r="D131" s="19" t="s">
        <v>623</v>
      </c>
      <c r="E131" s="9" t="s">
        <v>619</v>
      </c>
      <c r="F131" s="9" t="s">
        <v>619</v>
      </c>
      <c r="G131" s="13"/>
      <c r="H131" s="12" t="s">
        <v>67</v>
      </c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7.25" customHeight="1">
      <c r="A132" s="6">
        <v>130</v>
      </c>
      <c r="B132" s="7" t="s">
        <v>70</v>
      </c>
      <c r="C132" s="2" t="s">
        <v>27</v>
      </c>
      <c r="D132" s="19" t="s">
        <v>624</v>
      </c>
      <c r="E132" s="9" t="s">
        <v>556</v>
      </c>
      <c r="F132" s="9" t="s">
        <v>626</v>
      </c>
      <c r="G132" s="13"/>
      <c r="H132" s="12" t="s">
        <v>67</v>
      </c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7.25" customHeight="1">
      <c r="A133" s="6">
        <v>131</v>
      </c>
      <c r="B133" s="7" t="s">
        <v>241</v>
      </c>
      <c r="C133" s="2" t="s">
        <v>27</v>
      </c>
      <c r="D133" s="19" t="s">
        <v>627</v>
      </c>
      <c r="E133" s="9" t="s">
        <v>619</v>
      </c>
      <c r="F133" s="9" t="s">
        <v>626</v>
      </c>
      <c r="G133" s="13"/>
      <c r="H133" s="12" t="s">
        <v>67</v>
      </c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7.25" customHeight="1">
      <c r="A134" s="6">
        <v>132</v>
      </c>
      <c r="B134" s="7" t="s">
        <v>628</v>
      </c>
      <c r="C134" s="2" t="s">
        <v>27</v>
      </c>
      <c r="D134" s="19" t="s">
        <v>629</v>
      </c>
      <c r="E134" s="9" t="s">
        <v>556</v>
      </c>
      <c r="F134" s="9" t="s">
        <v>630</v>
      </c>
      <c r="G134" s="13"/>
      <c r="H134" s="12" t="s">
        <v>631</v>
      </c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7.25" customHeight="1">
      <c r="A135" s="6">
        <v>133</v>
      </c>
      <c r="B135" s="7" t="s">
        <v>632</v>
      </c>
      <c r="C135" s="2" t="s">
        <v>27</v>
      </c>
      <c r="D135" s="41" t="s">
        <v>633</v>
      </c>
      <c r="E135" s="9" t="s">
        <v>618</v>
      </c>
      <c r="F135" s="9" t="s">
        <v>630</v>
      </c>
      <c r="G135" s="13"/>
      <c r="H135" s="12" t="s">
        <v>67</v>
      </c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7.25" customHeight="1">
      <c r="A136" s="6">
        <v>134</v>
      </c>
      <c r="B136" s="7" t="s">
        <v>632</v>
      </c>
      <c r="C136" s="2" t="s">
        <v>27</v>
      </c>
      <c r="D136" s="41" t="s">
        <v>634</v>
      </c>
      <c r="E136" s="9" t="s">
        <v>618</v>
      </c>
      <c r="F136" s="9" t="s">
        <v>630</v>
      </c>
      <c r="G136" s="13"/>
      <c r="H136" s="12" t="s">
        <v>67</v>
      </c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7.25" customHeight="1">
      <c r="A137" s="6">
        <v>135</v>
      </c>
      <c r="B137" s="7" t="s">
        <v>632</v>
      </c>
      <c r="C137" s="2" t="s">
        <v>27</v>
      </c>
      <c r="D137" s="41" t="s">
        <v>635</v>
      </c>
      <c r="E137" s="9" t="s">
        <v>618</v>
      </c>
      <c r="F137" s="9" t="s">
        <v>630</v>
      </c>
      <c r="G137" s="13"/>
      <c r="H137" s="12" t="s">
        <v>67</v>
      </c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7.25" customHeight="1">
      <c r="A138" s="6">
        <v>136</v>
      </c>
      <c r="B138" s="7" t="s">
        <v>636</v>
      </c>
      <c r="C138" s="2" t="s">
        <v>27</v>
      </c>
      <c r="D138" s="19" t="s">
        <v>637</v>
      </c>
      <c r="E138" s="9" t="s">
        <v>556</v>
      </c>
      <c r="F138" s="9" t="s">
        <v>630</v>
      </c>
      <c r="G138" s="13"/>
      <c r="H138" s="12" t="s">
        <v>638</v>
      </c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7.25" customHeight="1">
      <c r="A139" s="6">
        <v>137</v>
      </c>
      <c r="B139" s="7" t="s">
        <v>639</v>
      </c>
      <c r="C139" s="2" t="s">
        <v>27</v>
      </c>
      <c r="D139" s="19" t="s">
        <v>640</v>
      </c>
      <c r="E139" s="9" t="s">
        <v>418</v>
      </c>
      <c r="F139" s="9" t="s">
        <v>630</v>
      </c>
      <c r="G139" s="13"/>
      <c r="H139" s="12" t="s">
        <v>289</v>
      </c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7.25" customHeight="1">
      <c r="A140" s="6">
        <v>138</v>
      </c>
      <c r="B140" s="7" t="s">
        <v>642</v>
      </c>
      <c r="C140" s="2" t="s">
        <v>27</v>
      </c>
      <c r="D140" s="19" t="s">
        <v>550</v>
      </c>
      <c r="E140" s="9" t="s">
        <v>556</v>
      </c>
      <c r="F140" s="9" t="s">
        <v>630</v>
      </c>
      <c r="G140" s="13"/>
      <c r="H140" s="12" t="s">
        <v>643</v>
      </c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7.25" customHeight="1">
      <c r="A141" s="6">
        <v>139</v>
      </c>
      <c r="B141" s="7" t="s">
        <v>644</v>
      </c>
      <c r="C141" s="2" t="s">
        <v>60</v>
      </c>
      <c r="D141" s="19" t="s">
        <v>645</v>
      </c>
      <c r="E141" s="9" t="s">
        <v>646</v>
      </c>
      <c r="F141" s="9" t="s">
        <v>630</v>
      </c>
      <c r="G141" s="13"/>
      <c r="H141" s="12" t="s">
        <v>67</v>
      </c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7.25" customHeight="1">
      <c r="A142" s="6">
        <v>140</v>
      </c>
      <c r="B142" s="7" t="s">
        <v>647</v>
      </c>
      <c r="C142" s="2" t="s">
        <v>27</v>
      </c>
      <c r="D142" s="19" t="s">
        <v>145</v>
      </c>
      <c r="E142" s="9" t="s">
        <v>418</v>
      </c>
      <c r="F142" s="9" t="s">
        <v>630</v>
      </c>
      <c r="G142" s="13"/>
      <c r="H142" s="12" t="s">
        <v>67</v>
      </c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7.25" customHeight="1">
      <c r="A143" s="6">
        <v>141</v>
      </c>
      <c r="B143" s="7" t="s">
        <v>35</v>
      </c>
      <c r="C143" s="2" t="s">
        <v>150</v>
      </c>
      <c r="D143" s="19" t="s">
        <v>648</v>
      </c>
      <c r="E143" s="9" t="s">
        <v>556</v>
      </c>
      <c r="F143" s="9" t="s">
        <v>630</v>
      </c>
      <c r="G143" s="13"/>
      <c r="H143" s="12" t="s">
        <v>407</v>
      </c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7.25" customHeight="1">
      <c r="A144" s="6">
        <v>142</v>
      </c>
      <c r="B144" s="7" t="s">
        <v>98</v>
      </c>
      <c r="C144" s="2" t="s">
        <v>261</v>
      </c>
      <c r="D144" s="19" t="s">
        <v>649</v>
      </c>
      <c r="E144" s="9" t="s">
        <v>618</v>
      </c>
      <c r="F144" s="9" t="s">
        <v>650</v>
      </c>
      <c r="G144" s="13"/>
      <c r="H144" s="12" t="s">
        <v>651</v>
      </c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7.25" customHeight="1">
      <c r="A145" s="6">
        <v>143</v>
      </c>
      <c r="B145" s="7" t="s">
        <v>592</v>
      </c>
      <c r="C145" s="2" t="s">
        <v>150</v>
      </c>
      <c r="D145" s="19" t="s">
        <v>652</v>
      </c>
      <c r="E145" s="9" t="s">
        <v>556</v>
      </c>
      <c r="F145" s="9" t="s">
        <v>650</v>
      </c>
      <c r="G145" s="13"/>
      <c r="H145" s="12" t="s">
        <v>67</v>
      </c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7.25" customHeight="1">
      <c r="A146" s="6">
        <v>144</v>
      </c>
      <c r="B146" s="7" t="s">
        <v>653</v>
      </c>
      <c r="C146" s="2" t="s">
        <v>249</v>
      </c>
      <c r="D146" s="19" t="s">
        <v>654</v>
      </c>
      <c r="E146" s="9" t="s">
        <v>556</v>
      </c>
      <c r="F146" s="9" t="s">
        <v>655</v>
      </c>
      <c r="G146" s="13"/>
      <c r="H146" s="12" t="s">
        <v>67</v>
      </c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7.25" customHeight="1">
      <c r="A147" s="6">
        <v>145</v>
      </c>
      <c r="B147" s="7" t="s">
        <v>657</v>
      </c>
      <c r="C147" s="2" t="s">
        <v>658</v>
      </c>
      <c r="D147" s="19" t="s">
        <v>659</v>
      </c>
      <c r="E147" s="9" t="s">
        <v>660</v>
      </c>
      <c r="F147" s="9" t="s">
        <v>630</v>
      </c>
      <c r="G147" s="13"/>
      <c r="H147" s="12" t="s">
        <v>51</v>
      </c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7.25" customHeight="1">
      <c r="A148" s="6">
        <v>146</v>
      </c>
      <c r="B148" s="7" t="s">
        <v>180</v>
      </c>
      <c r="C148" s="2" t="s">
        <v>75</v>
      </c>
      <c r="D148" s="19" t="s">
        <v>661</v>
      </c>
      <c r="E148" s="9" t="s">
        <v>599</v>
      </c>
      <c r="F148" s="9" t="s">
        <v>630</v>
      </c>
      <c r="G148" s="13"/>
      <c r="H148" s="12" t="s">
        <v>289</v>
      </c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7.25" customHeight="1">
      <c r="A149" s="6">
        <v>147</v>
      </c>
      <c r="B149" s="7" t="s">
        <v>662</v>
      </c>
      <c r="C149" s="2" t="s">
        <v>663</v>
      </c>
      <c r="D149" s="19" t="s">
        <v>664</v>
      </c>
      <c r="E149" s="9" t="s">
        <v>655</v>
      </c>
      <c r="F149" s="9" t="s">
        <v>665</v>
      </c>
      <c r="G149" s="13"/>
      <c r="H149" s="12" t="s">
        <v>651</v>
      </c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7.25" customHeight="1">
      <c r="A150" s="6">
        <v>148</v>
      </c>
      <c r="B150" s="7" t="s">
        <v>33</v>
      </c>
      <c r="C150" s="2" t="s">
        <v>75</v>
      </c>
      <c r="D150" s="19" t="s">
        <v>666</v>
      </c>
      <c r="E150" s="9" t="s">
        <v>556</v>
      </c>
      <c r="F150" s="9" t="s">
        <v>667</v>
      </c>
      <c r="G150" s="13"/>
      <c r="H150" s="12" t="s">
        <v>668</v>
      </c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7.25" customHeight="1">
      <c r="A151" s="6">
        <v>149</v>
      </c>
      <c r="B151" s="7" t="s">
        <v>26</v>
      </c>
      <c r="C151" s="2" t="s">
        <v>27</v>
      </c>
      <c r="D151" s="19" t="s">
        <v>276</v>
      </c>
      <c r="E151" s="9" t="s">
        <v>669</v>
      </c>
      <c r="F151" s="9" t="s">
        <v>669</v>
      </c>
      <c r="G151" s="13"/>
      <c r="H151" s="12" t="s">
        <v>67</v>
      </c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7.25" customHeight="1">
      <c r="A152" s="6">
        <v>150</v>
      </c>
      <c r="B152" s="7" t="s">
        <v>292</v>
      </c>
      <c r="C152" s="2" t="s">
        <v>27</v>
      </c>
      <c r="D152" s="19" t="s">
        <v>293</v>
      </c>
      <c r="E152" s="9" t="s">
        <v>669</v>
      </c>
      <c r="F152" s="9" t="s">
        <v>669</v>
      </c>
      <c r="G152" s="13"/>
      <c r="H152" s="12" t="s">
        <v>67</v>
      </c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7.25" customHeight="1">
      <c r="A153" s="6">
        <v>151</v>
      </c>
      <c r="B153" s="7" t="s">
        <v>670</v>
      </c>
      <c r="C153" s="2" t="s">
        <v>75</v>
      </c>
      <c r="D153" s="19" t="s">
        <v>671</v>
      </c>
      <c r="E153" s="9" t="s">
        <v>669</v>
      </c>
      <c r="F153" s="9" t="s">
        <v>669</v>
      </c>
      <c r="G153" s="13"/>
      <c r="H153" s="12" t="s">
        <v>68</v>
      </c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7.25" customHeight="1">
      <c r="A154" s="6">
        <v>152</v>
      </c>
      <c r="B154" s="7" t="s">
        <v>672</v>
      </c>
      <c r="C154" s="2" t="s">
        <v>27</v>
      </c>
      <c r="D154" s="19" t="s">
        <v>673</v>
      </c>
      <c r="E154" s="9" t="s">
        <v>669</v>
      </c>
      <c r="F154" s="9" t="s">
        <v>669</v>
      </c>
      <c r="G154" s="13"/>
      <c r="H154" s="12" t="s">
        <v>643</v>
      </c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7.25" customHeight="1">
      <c r="A155" s="6">
        <v>153</v>
      </c>
      <c r="B155" s="7" t="s">
        <v>674</v>
      </c>
      <c r="C155" s="2" t="s">
        <v>75</v>
      </c>
      <c r="D155" s="19" t="s">
        <v>675</v>
      </c>
      <c r="E155" s="9" t="s">
        <v>669</v>
      </c>
      <c r="F155" s="9" t="s">
        <v>669</v>
      </c>
      <c r="G155" s="13"/>
      <c r="H155" s="12" t="s">
        <v>67</v>
      </c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7.25" customHeight="1">
      <c r="A156" s="6">
        <v>154</v>
      </c>
      <c r="B156" s="7" t="s">
        <v>676</v>
      </c>
      <c r="C156" s="2" t="s">
        <v>249</v>
      </c>
      <c r="D156" s="19" t="s">
        <v>677</v>
      </c>
      <c r="E156" s="9" t="s">
        <v>599</v>
      </c>
      <c r="F156" s="9" t="s">
        <v>669</v>
      </c>
      <c r="G156" s="13"/>
      <c r="H156" s="12" t="s">
        <v>678</v>
      </c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7.25" customHeight="1">
      <c r="A157" s="6">
        <v>155</v>
      </c>
      <c r="B157" s="7" t="s">
        <v>679</v>
      </c>
      <c r="C157" s="2" t="s">
        <v>60</v>
      </c>
      <c r="D157" s="19" t="s">
        <v>680</v>
      </c>
      <c r="E157" s="9" t="s">
        <v>556</v>
      </c>
      <c r="F157" s="9" t="s">
        <v>669</v>
      </c>
      <c r="G157" s="13"/>
      <c r="H157" s="12" t="s">
        <v>320</v>
      </c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7.25" customHeight="1">
      <c r="A158" s="6">
        <v>156</v>
      </c>
      <c r="B158" s="7" t="s">
        <v>681</v>
      </c>
      <c r="C158" s="2" t="s">
        <v>213</v>
      </c>
      <c r="D158" s="19" t="s">
        <v>682</v>
      </c>
      <c r="E158" s="9" t="s">
        <v>683</v>
      </c>
      <c r="F158" s="9" t="s">
        <v>684</v>
      </c>
      <c r="G158" s="13"/>
      <c r="H158" s="12" t="s">
        <v>67</v>
      </c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7.25" customHeight="1">
      <c r="A159" s="6">
        <v>157</v>
      </c>
      <c r="B159" s="7" t="s">
        <v>685</v>
      </c>
      <c r="C159" s="2" t="s">
        <v>27</v>
      </c>
      <c r="D159" s="19" t="s">
        <v>686</v>
      </c>
      <c r="E159" s="9" t="s">
        <v>687</v>
      </c>
      <c r="F159" s="9" t="s">
        <v>684</v>
      </c>
      <c r="G159" s="13"/>
      <c r="H159" s="12" t="s">
        <v>67</v>
      </c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7.25" customHeight="1">
      <c r="A160" s="6">
        <v>158</v>
      </c>
      <c r="B160" s="7" t="s">
        <v>688</v>
      </c>
      <c r="C160" s="2" t="s">
        <v>27</v>
      </c>
      <c r="D160" s="19" t="s">
        <v>689</v>
      </c>
      <c r="E160" s="9" t="s">
        <v>669</v>
      </c>
      <c r="F160" s="9" t="s">
        <v>684</v>
      </c>
      <c r="G160" s="13"/>
      <c r="H160" s="12" t="s">
        <v>690</v>
      </c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7.25" customHeight="1">
      <c r="A161" s="6">
        <v>159</v>
      </c>
      <c r="B161" s="7" t="s">
        <v>691</v>
      </c>
      <c r="C161" s="2" t="s">
        <v>27</v>
      </c>
      <c r="D161" s="19" t="s">
        <v>145</v>
      </c>
      <c r="E161" s="9" t="s">
        <v>669</v>
      </c>
      <c r="F161" s="9" t="s">
        <v>684</v>
      </c>
      <c r="G161" s="13"/>
      <c r="H161" s="12" t="s">
        <v>692</v>
      </c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7.25" customHeight="1">
      <c r="A162" s="6">
        <v>160</v>
      </c>
      <c r="B162" s="7" t="s">
        <v>693</v>
      </c>
      <c r="C162" s="2" t="s">
        <v>27</v>
      </c>
      <c r="D162" s="19" t="s">
        <v>694</v>
      </c>
      <c r="E162" s="9" t="s">
        <v>669</v>
      </c>
      <c r="F162" s="9" t="s">
        <v>684</v>
      </c>
      <c r="G162" s="13"/>
      <c r="H162" s="12" t="s">
        <v>67</v>
      </c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0.5" customHeight="1">
      <c r="A163" s="82"/>
      <c r="B163" s="72"/>
      <c r="C163" s="72"/>
      <c r="D163" s="72"/>
      <c r="E163" s="72"/>
      <c r="F163" s="72"/>
      <c r="G163" s="72"/>
      <c r="H163" s="7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83" t="s">
        <v>695</v>
      </c>
      <c r="B164" s="72"/>
      <c r="C164" s="72"/>
      <c r="D164" s="72"/>
      <c r="E164" s="72"/>
      <c r="F164" s="72"/>
      <c r="G164" s="72"/>
      <c r="H164" s="72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33.75" customHeight="1">
      <c r="A165" s="4" t="s">
        <v>6</v>
      </c>
      <c r="B165" s="5" t="s">
        <v>7</v>
      </c>
      <c r="C165" s="5" t="s">
        <v>9</v>
      </c>
      <c r="D165" s="5" t="s">
        <v>11</v>
      </c>
      <c r="E165" s="5" t="s">
        <v>696</v>
      </c>
      <c r="F165" s="5" t="s">
        <v>697</v>
      </c>
      <c r="G165" s="5" t="s">
        <v>698</v>
      </c>
      <c r="H165" s="5" t="s">
        <v>19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58">
        <v>1</v>
      </c>
      <c r="B166" s="16"/>
      <c r="C166" s="2"/>
      <c r="D166" s="16"/>
      <c r="E166" s="59"/>
      <c r="F166" s="59"/>
      <c r="G166" s="13"/>
      <c r="H166" s="12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.75" customHeight="1">
      <c r="A167" s="6">
        <v>2</v>
      </c>
      <c r="B167" s="7"/>
      <c r="C167" s="7"/>
      <c r="D167" s="56"/>
      <c r="E167" s="9"/>
      <c r="F167" s="9"/>
      <c r="G167" s="13"/>
      <c r="H167" s="9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.75" customHeight="1">
      <c r="A168" s="58">
        <v>3</v>
      </c>
      <c r="B168" s="7"/>
      <c r="C168" s="7"/>
      <c r="D168" s="56"/>
      <c r="E168" s="9"/>
      <c r="F168" s="9"/>
      <c r="G168" s="38"/>
      <c r="H168" s="9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.75" customHeight="1">
      <c r="A169" s="6">
        <v>4</v>
      </c>
      <c r="B169" s="7"/>
      <c r="C169" s="7"/>
      <c r="D169" s="41"/>
      <c r="E169" s="9"/>
      <c r="F169" s="9"/>
      <c r="G169" s="13"/>
      <c r="H169" s="9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customHeight="1">
      <c r="A170" s="6">
        <v>5</v>
      </c>
      <c r="B170" s="7"/>
      <c r="C170" s="7"/>
      <c r="D170" s="41"/>
      <c r="E170" s="9"/>
      <c r="F170" s="9"/>
      <c r="G170" s="38"/>
      <c r="H170" s="9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.75" customHeight="1">
      <c r="A171" s="6">
        <v>6</v>
      </c>
      <c r="B171" s="7"/>
      <c r="C171" s="7"/>
      <c r="D171" s="41"/>
      <c r="E171" s="9"/>
      <c r="F171" s="9"/>
      <c r="G171" s="13"/>
      <c r="H171" s="9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0.5" customHeight="1">
      <c r="A172" s="82"/>
      <c r="B172" s="72"/>
      <c r="C172" s="72"/>
      <c r="D172" s="72"/>
      <c r="E172" s="72"/>
      <c r="F172" s="72"/>
      <c r="G172" s="72"/>
      <c r="H172" s="72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spans="1:26" ht="15.75" customHeight="1">
      <c r="A173" s="84" t="s">
        <v>699</v>
      </c>
      <c r="B173" s="72"/>
      <c r="C173" s="72"/>
      <c r="D173" s="72"/>
      <c r="E173" s="72"/>
      <c r="F173" s="72"/>
      <c r="G173" s="72"/>
      <c r="H173" s="72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33.75" customHeight="1">
      <c r="A174" s="4" t="s">
        <v>6</v>
      </c>
      <c r="B174" s="5" t="s">
        <v>7</v>
      </c>
      <c r="C174" s="5" t="s">
        <v>9</v>
      </c>
      <c r="D174" s="5" t="s">
        <v>11</v>
      </c>
      <c r="E174" s="5" t="s">
        <v>696</v>
      </c>
      <c r="F174" s="5" t="s">
        <v>697</v>
      </c>
      <c r="G174" s="5" t="s">
        <v>698</v>
      </c>
      <c r="H174" s="5" t="s">
        <v>19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58">
        <v>1</v>
      </c>
      <c r="B175" s="16"/>
      <c r="C175" s="16"/>
      <c r="D175" s="16"/>
      <c r="E175" s="59"/>
      <c r="F175" s="59"/>
      <c r="G175" s="13"/>
      <c r="H175" s="12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.75" customHeight="1">
      <c r="A176" s="6">
        <v>2</v>
      </c>
      <c r="B176" s="7"/>
      <c r="C176" s="2"/>
      <c r="D176" s="7"/>
      <c r="E176" s="59"/>
      <c r="F176" s="9"/>
      <c r="G176" s="13"/>
      <c r="H176" s="12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.75" customHeight="1">
      <c r="A177" s="6">
        <v>3</v>
      </c>
      <c r="B177" s="16"/>
      <c r="C177" s="16"/>
      <c r="D177" s="2"/>
      <c r="E177" s="59"/>
      <c r="F177" s="59"/>
      <c r="G177" s="13"/>
      <c r="H177" s="12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.75" customHeight="1">
      <c r="A178" s="6">
        <v>4</v>
      </c>
      <c r="B178" s="7"/>
      <c r="C178" s="2"/>
      <c r="D178" s="7"/>
      <c r="E178" s="9"/>
      <c r="F178" s="59"/>
      <c r="G178" s="13"/>
      <c r="H178" s="12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.75" customHeight="1">
      <c r="A179" s="6">
        <v>5</v>
      </c>
      <c r="B179" s="16"/>
      <c r="C179" s="2"/>
      <c r="D179" s="16"/>
      <c r="E179" s="9"/>
      <c r="F179" s="59"/>
      <c r="G179" s="13"/>
      <c r="H179" s="12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.75" customHeight="1">
      <c r="A180" s="58">
        <v>6</v>
      </c>
      <c r="B180" s="7"/>
      <c r="C180" s="2"/>
      <c r="D180" s="7"/>
      <c r="E180" s="9"/>
      <c r="F180" s="9"/>
      <c r="G180" s="13"/>
      <c r="H180" s="12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0.5" customHeight="1">
      <c r="A181" s="82"/>
      <c r="B181" s="72"/>
      <c r="C181" s="72"/>
      <c r="D181" s="72"/>
      <c r="E181" s="72"/>
      <c r="F181" s="72"/>
      <c r="G181" s="72"/>
      <c r="H181" s="72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spans="1:26" ht="15.75" customHeight="1">
      <c r="A182" s="49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49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49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49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49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49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49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49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49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49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49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49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49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49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49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49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49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49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49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49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49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49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49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49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49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49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49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49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49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49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49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49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49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49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49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49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49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49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49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49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49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49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49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49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49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49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49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49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49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49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49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49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49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49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49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49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49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49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49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49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49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49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49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49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49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49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49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49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49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49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49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49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49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49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49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49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49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49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49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49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49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49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49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49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49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49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49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49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49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49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49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49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49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49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49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49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49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49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49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49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49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49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49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49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49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49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49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49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49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49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49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49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49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49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49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49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49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49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49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49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49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49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49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49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49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49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49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49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49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49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49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49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49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49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49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49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49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49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49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49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49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49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49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49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49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49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49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49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49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49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49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49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49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49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49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49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49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49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49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49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49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49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49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49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49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49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49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49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49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49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49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49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49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49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49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49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49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49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49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49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49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49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49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49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49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49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49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49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49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49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49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49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49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49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49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49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49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49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49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/>
    <row r="382" spans="1:26" ht="15.75" customHeight="1"/>
    <row r="383" spans="1:26" ht="15.75" customHeight="1"/>
    <row r="384" spans="1:26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73:H173"/>
    <mergeCell ref="A181:H181"/>
    <mergeCell ref="A1:D1"/>
    <mergeCell ref="E1:H1"/>
    <mergeCell ref="A163:H163"/>
    <mergeCell ref="A164:H164"/>
    <mergeCell ref="A172:H172"/>
  </mergeCells>
  <dataValidations count="4">
    <dataValidation type="list" allowBlank="1" showErrorMessage="1" sqref="G3 G5:G6 G8 G11:G12 G14:G19 G27 G54 G104 G113 G124 G146" xr:uid="{00000000-0002-0000-0100-000000000000}">
      <formula1>"PENDING,REJECTED,ACCEPTED,IN PROCESS"</formula1>
    </dataValidation>
    <dataValidation type="list" allowBlank="1" showErrorMessage="1" sqref="G4 G20:G26 G29:G30 G32 G35 G38 G41:G42 G45:G48 G50:G52 G55:G56 G59 G62:G66 G68 G75:G77 G79 G81:G83 G86 G88:G89 G91 G93 G96 G98:G99 G101:G102 G109 G111 G114 G117 G122 G128 G133 G136 G145 G148 G151 G166 G168 G170 G175:G180" xr:uid="{00000000-0002-0000-0100-000001000000}">
      <formula1>"PENDING,REJECTED,ACCEPTED,PASSED"</formula1>
    </dataValidation>
    <dataValidation type="list" allowBlank="1" showErrorMessage="1" sqref="G7 G9:G10 G31 G33:G34 G36:G37 G39:G40 G44 G53 G57:G58 G60:G61 G67 G69:G74 G78 G80 G84:G85 G87 G90 G92 G94:G95 G97 G100 G103 G105:G108 G110 G112 G115:G116 G118:G121 G123 G125 G127 G129:G131 G134:G135 G137:G144 G147 G149:G150 G152:G162 G167 G169 G171" xr:uid="{00000000-0002-0000-0100-000002000000}">
      <formula1>"PENDING,REJECTED,ACCEPTED,IN PROCESS,WITHDRAWN"</formula1>
    </dataValidation>
    <dataValidation type="list" allowBlank="1" showErrorMessage="1" sqref="G13 G28 G43 G49 G126 G132" xr:uid="{00000000-0002-0000-0100-000003000000}">
      <formula1>"PENDING,REJECTED,ACCEPTED,IN PROCESS,COMPLETE"</formula1>
    </dataValidation>
  </dataValidations>
  <hyperlinks>
    <hyperlink ref="D3" r:id="rId1" xr:uid="{00000000-0004-0000-0100-000000000000}"/>
    <hyperlink ref="D4" r:id="rId2" xr:uid="{00000000-0004-0000-0100-000001000000}"/>
    <hyperlink ref="D5" r:id="rId3" xr:uid="{00000000-0004-0000-0100-000002000000}"/>
    <hyperlink ref="D6" r:id="rId4" xr:uid="{00000000-0004-0000-0100-000003000000}"/>
    <hyperlink ref="D7" r:id="rId5" xr:uid="{00000000-0004-0000-0100-000004000000}"/>
    <hyperlink ref="D8" r:id="rId6" xr:uid="{00000000-0004-0000-0100-000005000000}"/>
    <hyperlink ref="D9" r:id="rId7" xr:uid="{00000000-0004-0000-0100-000006000000}"/>
    <hyperlink ref="D10" r:id="rId8" xr:uid="{00000000-0004-0000-0100-000007000000}"/>
    <hyperlink ref="D11" r:id="rId9" xr:uid="{00000000-0004-0000-0100-000008000000}"/>
    <hyperlink ref="D12" r:id="rId10" xr:uid="{00000000-0004-0000-0100-000009000000}"/>
    <hyperlink ref="D13" r:id="rId11" xr:uid="{00000000-0004-0000-0100-00000A000000}"/>
    <hyperlink ref="D14" r:id="rId12" location=":~:text=Sophomore%20Discovery%20Day%20%E2%80%93%20Capital%20Markets" xr:uid="{00000000-0004-0000-0100-00000B000000}"/>
    <hyperlink ref="D15" r:id="rId13" xr:uid="{00000000-0004-0000-0100-00000C000000}"/>
    <hyperlink ref="D16" r:id="rId14" xr:uid="{00000000-0004-0000-0100-00000D000000}"/>
    <hyperlink ref="D17" r:id="rId15" xr:uid="{00000000-0004-0000-0100-00000E000000}"/>
    <hyperlink ref="D18" r:id="rId16" xr:uid="{00000000-0004-0000-0100-00000F000000}"/>
    <hyperlink ref="D19" r:id="rId17" xr:uid="{00000000-0004-0000-0100-000010000000}"/>
    <hyperlink ref="D20" r:id="rId18" xr:uid="{00000000-0004-0000-0100-000011000000}"/>
    <hyperlink ref="D21" r:id="rId19" xr:uid="{00000000-0004-0000-0100-000012000000}"/>
    <hyperlink ref="D22" r:id="rId20" xr:uid="{00000000-0004-0000-0100-000013000000}"/>
    <hyperlink ref="D23" r:id="rId21" xr:uid="{00000000-0004-0000-0100-000014000000}"/>
    <hyperlink ref="D24" r:id="rId22" xr:uid="{00000000-0004-0000-0100-000015000000}"/>
    <hyperlink ref="D25" r:id="rId23" xr:uid="{00000000-0004-0000-0100-000016000000}"/>
    <hyperlink ref="D26" r:id="rId24" xr:uid="{00000000-0004-0000-0100-000017000000}"/>
    <hyperlink ref="D27" r:id="rId25" xr:uid="{00000000-0004-0000-0100-000018000000}"/>
    <hyperlink ref="D28" r:id="rId26" xr:uid="{00000000-0004-0000-0100-000019000000}"/>
    <hyperlink ref="D29" r:id="rId27" xr:uid="{00000000-0004-0000-0100-00001A000000}"/>
    <hyperlink ref="D30" r:id="rId28" xr:uid="{00000000-0004-0000-0100-00001B000000}"/>
    <hyperlink ref="D31" r:id="rId29" xr:uid="{00000000-0004-0000-0100-00001C000000}"/>
    <hyperlink ref="D32" r:id="rId30" xr:uid="{00000000-0004-0000-0100-00001D000000}"/>
    <hyperlink ref="D33" r:id="rId31" xr:uid="{00000000-0004-0000-0100-00001E000000}"/>
    <hyperlink ref="D34" r:id="rId32" xr:uid="{00000000-0004-0000-0100-00001F000000}"/>
    <hyperlink ref="D35" r:id="rId33" xr:uid="{00000000-0004-0000-0100-000020000000}"/>
    <hyperlink ref="D36" r:id="rId34" xr:uid="{00000000-0004-0000-0100-000021000000}"/>
    <hyperlink ref="D37" r:id="rId35" xr:uid="{00000000-0004-0000-0100-000022000000}"/>
    <hyperlink ref="D38" r:id="rId36" xr:uid="{00000000-0004-0000-0100-000023000000}"/>
    <hyperlink ref="D39" r:id="rId37" xr:uid="{00000000-0004-0000-0100-000024000000}"/>
    <hyperlink ref="D40" r:id="rId38" xr:uid="{00000000-0004-0000-0100-000025000000}"/>
    <hyperlink ref="D41" r:id="rId39" xr:uid="{00000000-0004-0000-0100-000026000000}"/>
    <hyperlink ref="D42" r:id="rId40" xr:uid="{00000000-0004-0000-0100-000027000000}"/>
    <hyperlink ref="D43" r:id="rId41" xr:uid="{00000000-0004-0000-0100-000028000000}"/>
    <hyperlink ref="D44" r:id="rId42" xr:uid="{00000000-0004-0000-0100-000029000000}"/>
    <hyperlink ref="D45" r:id="rId43" xr:uid="{00000000-0004-0000-0100-00002A000000}"/>
    <hyperlink ref="D46" r:id="rId44" xr:uid="{00000000-0004-0000-0100-00002B000000}"/>
    <hyperlink ref="D47" r:id="rId45" xr:uid="{00000000-0004-0000-0100-00002C000000}"/>
    <hyperlink ref="D48" r:id="rId46" xr:uid="{00000000-0004-0000-0100-00002D000000}"/>
    <hyperlink ref="D49" r:id="rId47" xr:uid="{00000000-0004-0000-0100-00002E000000}"/>
    <hyperlink ref="D50" r:id="rId48" xr:uid="{00000000-0004-0000-0100-00002F000000}"/>
    <hyperlink ref="D51" r:id="rId49" xr:uid="{00000000-0004-0000-0100-000030000000}"/>
    <hyperlink ref="D52" r:id="rId50" location="jobDetails=287598_5029" xr:uid="{00000000-0004-0000-0100-000031000000}"/>
    <hyperlink ref="D53" r:id="rId51" xr:uid="{00000000-0004-0000-0100-000032000000}"/>
    <hyperlink ref="D54" r:id="rId52" xr:uid="{00000000-0004-0000-0100-000033000000}"/>
    <hyperlink ref="D55" r:id="rId53" xr:uid="{00000000-0004-0000-0100-000034000000}"/>
    <hyperlink ref="D56" r:id="rId54" xr:uid="{00000000-0004-0000-0100-000035000000}"/>
    <hyperlink ref="D57" r:id="rId55" xr:uid="{00000000-0004-0000-0100-000036000000}"/>
    <hyperlink ref="D58" r:id="rId56" xr:uid="{00000000-0004-0000-0100-000037000000}"/>
    <hyperlink ref="D59" r:id="rId57" xr:uid="{00000000-0004-0000-0100-000038000000}"/>
    <hyperlink ref="D60" r:id="rId58" xr:uid="{00000000-0004-0000-0100-000039000000}"/>
    <hyperlink ref="D61" r:id="rId59" xr:uid="{00000000-0004-0000-0100-00003A000000}"/>
    <hyperlink ref="D62" r:id="rId60" xr:uid="{00000000-0004-0000-0100-00003B000000}"/>
    <hyperlink ref="D63" r:id="rId61" xr:uid="{00000000-0004-0000-0100-00003C000000}"/>
    <hyperlink ref="D64" r:id="rId62" location=":~:text=2025%20Blackstone%20Credit%20and%20Insurance%20Summer%20Analyst" xr:uid="{00000000-0004-0000-0100-00003D000000}"/>
    <hyperlink ref="D65" r:id="rId63" xr:uid="{00000000-0004-0000-0100-00003E000000}"/>
    <hyperlink ref="D66" r:id="rId64" xr:uid="{00000000-0004-0000-0100-00003F000000}"/>
    <hyperlink ref="D67" r:id="rId65" xr:uid="{00000000-0004-0000-0100-000040000000}"/>
    <hyperlink ref="D68" r:id="rId66" xr:uid="{00000000-0004-0000-0100-000041000000}"/>
    <hyperlink ref="D69" r:id="rId67" xr:uid="{00000000-0004-0000-0100-000042000000}"/>
    <hyperlink ref="D70" r:id="rId68" xr:uid="{00000000-0004-0000-0100-000043000000}"/>
    <hyperlink ref="D71" r:id="rId69" xr:uid="{00000000-0004-0000-0100-000044000000}"/>
    <hyperlink ref="D72" r:id="rId70" xr:uid="{00000000-0004-0000-0100-000045000000}"/>
    <hyperlink ref="D73" r:id="rId71" xr:uid="{00000000-0004-0000-0100-000046000000}"/>
    <hyperlink ref="D74" r:id="rId72" xr:uid="{00000000-0004-0000-0100-000047000000}"/>
    <hyperlink ref="D75" r:id="rId73" xr:uid="{00000000-0004-0000-0100-000048000000}"/>
    <hyperlink ref="D76" r:id="rId74" xr:uid="{00000000-0004-0000-0100-000049000000}"/>
    <hyperlink ref="D77" r:id="rId75" xr:uid="{00000000-0004-0000-0100-00004A000000}"/>
    <hyperlink ref="D78" r:id="rId76" xr:uid="{00000000-0004-0000-0100-00004B000000}"/>
    <hyperlink ref="D79" r:id="rId77" xr:uid="{00000000-0004-0000-0100-00004C000000}"/>
    <hyperlink ref="D80" r:id="rId78" xr:uid="{00000000-0004-0000-0100-00004D000000}"/>
    <hyperlink ref="D81" r:id="rId79" xr:uid="{00000000-0004-0000-0100-00004E000000}"/>
    <hyperlink ref="D82" r:id="rId80" xr:uid="{00000000-0004-0000-0100-00004F000000}"/>
    <hyperlink ref="D83" r:id="rId81" xr:uid="{00000000-0004-0000-0100-000050000000}"/>
    <hyperlink ref="D84" r:id="rId82" xr:uid="{00000000-0004-0000-0100-000051000000}"/>
    <hyperlink ref="D85" r:id="rId83" xr:uid="{00000000-0004-0000-0100-000052000000}"/>
    <hyperlink ref="D86" r:id="rId84" xr:uid="{00000000-0004-0000-0100-000053000000}"/>
    <hyperlink ref="D87" r:id="rId85" xr:uid="{00000000-0004-0000-0100-000054000000}"/>
    <hyperlink ref="D88" r:id="rId86" xr:uid="{00000000-0004-0000-0100-000055000000}"/>
    <hyperlink ref="D89" r:id="rId87" xr:uid="{00000000-0004-0000-0100-000056000000}"/>
    <hyperlink ref="D90" r:id="rId88" xr:uid="{00000000-0004-0000-0100-000057000000}"/>
    <hyperlink ref="D91" r:id="rId89" xr:uid="{00000000-0004-0000-0100-000058000000}"/>
    <hyperlink ref="D92" r:id="rId90" xr:uid="{00000000-0004-0000-0100-000059000000}"/>
    <hyperlink ref="D93" r:id="rId91" xr:uid="{00000000-0004-0000-0100-00005A000000}"/>
    <hyperlink ref="D94" r:id="rId92" xr:uid="{00000000-0004-0000-0100-00005B000000}"/>
    <hyperlink ref="D95" r:id="rId93" xr:uid="{00000000-0004-0000-0100-00005C000000}"/>
    <hyperlink ref="D96" r:id="rId94" xr:uid="{00000000-0004-0000-0100-00005D000000}"/>
    <hyperlink ref="D97" r:id="rId95" xr:uid="{00000000-0004-0000-0100-00005E000000}"/>
    <hyperlink ref="D98" r:id="rId96" xr:uid="{00000000-0004-0000-0100-00005F000000}"/>
    <hyperlink ref="D99" r:id="rId97" xr:uid="{00000000-0004-0000-0100-000060000000}"/>
    <hyperlink ref="D100" r:id="rId98" xr:uid="{00000000-0004-0000-0100-000061000000}"/>
    <hyperlink ref="D101" r:id="rId99" xr:uid="{00000000-0004-0000-0100-000062000000}"/>
    <hyperlink ref="D102" r:id="rId100" xr:uid="{00000000-0004-0000-0100-000063000000}"/>
    <hyperlink ref="D103" r:id="rId101" xr:uid="{00000000-0004-0000-0100-000064000000}"/>
    <hyperlink ref="D104" r:id="rId102" xr:uid="{00000000-0004-0000-0100-000065000000}"/>
    <hyperlink ref="D105" r:id="rId103" xr:uid="{00000000-0004-0000-0100-000066000000}"/>
    <hyperlink ref="D106" r:id="rId104" xr:uid="{00000000-0004-0000-0100-000067000000}"/>
    <hyperlink ref="D107" r:id="rId105" xr:uid="{00000000-0004-0000-0100-000068000000}"/>
    <hyperlink ref="D108" r:id="rId106" xr:uid="{00000000-0004-0000-0100-000069000000}"/>
    <hyperlink ref="D109" r:id="rId107" xr:uid="{00000000-0004-0000-0100-00006A000000}"/>
    <hyperlink ref="D110" r:id="rId108" xr:uid="{00000000-0004-0000-0100-00006B000000}"/>
    <hyperlink ref="D111" r:id="rId109" xr:uid="{00000000-0004-0000-0100-00006C000000}"/>
    <hyperlink ref="D112" r:id="rId110" xr:uid="{00000000-0004-0000-0100-00006D000000}"/>
    <hyperlink ref="D113" r:id="rId111" xr:uid="{00000000-0004-0000-0100-00006E000000}"/>
    <hyperlink ref="D114" r:id="rId112" xr:uid="{00000000-0004-0000-0100-00006F000000}"/>
    <hyperlink ref="D115" r:id="rId113" xr:uid="{00000000-0004-0000-0100-000070000000}"/>
    <hyperlink ref="D116" r:id="rId114" xr:uid="{00000000-0004-0000-0100-000071000000}"/>
    <hyperlink ref="D117" r:id="rId115" xr:uid="{00000000-0004-0000-0100-000072000000}"/>
    <hyperlink ref="D118" r:id="rId116" xr:uid="{00000000-0004-0000-0100-000073000000}"/>
    <hyperlink ref="D119" r:id="rId117" xr:uid="{00000000-0004-0000-0100-000074000000}"/>
    <hyperlink ref="D120" r:id="rId118" xr:uid="{00000000-0004-0000-0100-000075000000}"/>
    <hyperlink ref="D121" r:id="rId119" xr:uid="{00000000-0004-0000-0100-000076000000}"/>
    <hyperlink ref="D122" r:id="rId120" xr:uid="{00000000-0004-0000-0100-000077000000}"/>
    <hyperlink ref="D123" r:id="rId121" xr:uid="{00000000-0004-0000-0100-000078000000}"/>
    <hyperlink ref="D124" r:id="rId122" xr:uid="{00000000-0004-0000-0100-000079000000}"/>
    <hyperlink ref="D125" r:id="rId123" xr:uid="{00000000-0004-0000-0100-00007A000000}"/>
    <hyperlink ref="D126" r:id="rId124" xr:uid="{00000000-0004-0000-0100-00007B000000}"/>
    <hyperlink ref="D127" r:id="rId125" xr:uid="{00000000-0004-0000-0100-00007C000000}"/>
    <hyperlink ref="D128" r:id="rId126" xr:uid="{00000000-0004-0000-0100-00007D000000}"/>
    <hyperlink ref="D129" r:id="rId127" xr:uid="{00000000-0004-0000-0100-00007E000000}"/>
    <hyperlink ref="D130" r:id="rId128" xr:uid="{00000000-0004-0000-0100-00007F000000}"/>
    <hyperlink ref="D131" r:id="rId129" xr:uid="{00000000-0004-0000-0100-000080000000}"/>
    <hyperlink ref="D132" r:id="rId130" xr:uid="{00000000-0004-0000-0100-000081000000}"/>
    <hyperlink ref="D133" r:id="rId131" xr:uid="{00000000-0004-0000-0100-000082000000}"/>
    <hyperlink ref="D134" r:id="rId132" xr:uid="{00000000-0004-0000-0100-000083000000}"/>
    <hyperlink ref="D135" r:id="rId133" xr:uid="{00000000-0004-0000-0100-000084000000}"/>
    <hyperlink ref="D136" r:id="rId134" xr:uid="{00000000-0004-0000-0100-000085000000}"/>
    <hyperlink ref="D137" r:id="rId135" xr:uid="{00000000-0004-0000-0100-000086000000}"/>
    <hyperlink ref="D138" r:id="rId136" xr:uid="{00000000-0004-0000-0100-000087000000}"/>
    <hyperlink ref="D139" r:id="rId137" xr:uid="{00000000-0004-0000-0100-000088000000}"/>
    <hyperlink ref="D140" r:id="rId138" xr:uid="{00000000-0004-0000-0100-000089000000}"/>
    <hyperlink ref="D141" r:id="rId139" xr:uid="{00000000-0004-0000-0100-00008A000000}"/>
    <hyperlink ref="D142" r:id="rId140" xr:uid="{00000000-0004-0000-0100-00008B000000}"/>
    <hyperlink ref="D143" r:id="rId141" location="app" xr:uid="{00000000-0004-0000-0100-00008C000000}"/>
    <hyperlink ref="D144" r:id="rId142" xr:uid="{00000000-0004-0000-0100-00008D000000}"/>
    <hyperlink ref="D145" r:id="rId143" xr:uid="{00000000-0004-0000-0100-00008E000000}"/>
    <hyperlink ref="D146" r:id="rId144" xr:uid="{00000000-0004-0000-0100-00008F000000}"/>
    <hyperlink ref="D147" r:id="rId145" xr:uid="{00000000-0004-0000-0100-000090000000}"/>
    <hyperlink ref="D148" r:id="rId146" xr:uid="{00000000-0004-0000-0100-000091000000}"/>
    <hyperlink ref="D149" r:id="rId147" xr:uid="{00000000-0004-0000-0100-000092000000}"/>
    <hyperlink ref="D150" r:id="rId148" xr:uid="{00000000-0004-0000-0100-000093000000}"/>
    <hyperlink ref="D151" r:id="rId149" xr:uid="{00000000-0004-0000-0100-000094000000}"/>
    <hyperlink ref="D152" r:id="rId150" xr:uid="{00000000-0004-0000-0100-000095000000}"/>
    <hyperlink ref="D153" r:id="rId151" xr:uid="{00000000-0004-0000-0100-000096000000}"/>
    <hyperlink ref="D154" r:id="rId152" xr:uid="{00000000-0004-0000-0100-000097000000}"/>
    <hyperlink ref="D155" r:id="rId153" xr:uid="{00000000-0004-0000-0100-000098000000}"/>
    <hyperlink ref="D156" r:id="rId154" xr:uid="{00000000-0004-0000-0100-000099000000}"/>
    <hyperlink ref="D157" r:id="rId155" xr:uid="{00000000-0004-0000-0100-00009A000000}"/>
    <hyperlink ref="D158" r:id="rId156" xr:uid="{00000000-0004-0000-0100-00009B000000}"/>
    <hyperlink ref="D159" r:id="rId157" xr:uid="{00000000-0004-0000-0100-00009C000000}"/>
    <hyperlink ref="D160" r:id="rId158" xr:uid="{00000000-0004-0000-0100-00009D000000}"/>
    <hyperlink ref="D161" r:id="rId159" xr:uid="{00000000-0004-0000-0100-00009E000000}"/>
    <hyperlink ref="D162" r:id="rId160" xr:uid="{00000000-0004-0000-0100-00009F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1000"/>
  <sheetViews>
    <sheetView workbookViewId="0">
      <pane ySplit="2" topLeftCell="A3" activePane="bottomLeft" state="frozen"/>
      <selection pane="bottomLeft" activeCell="B4" sqref="B4"/>
    </sheetView>
  </sheetViews>
  <sheetFormatPr defaultColWidth="12.6328125" defaultRowHeight="15" customHeight="1"/>
  <cols>
    <col min="1" max="1" width="3.7265625" customWidth="1"/>
    <col min="2" max="2" width="21.90625" customWidth="1"/>
    <col min="3" max="3" width="17.7265625" customWidth="1"/>
    <col min="4" max="4" width="52.08984375" customWidth="1"/>
    <col min="5" max="5" width="15.453125" customWidth="1"/>
    <col min="6" max="10" width="12.7265625" customWidth="1"/>
  </cols>
  <sheetData>
    <row r="1" spans="1:28" ht="18.75" customHeight="1">
      <c r="A1" s="71" t="s">
        <v>0</v>
      </c>
      <c r="B1" s="72"/>
      <c r="C1" s="72"/>
      <c r="D1" s="72"/>
      <c r="E1" s="1"/>
      <c r="F1" s="73" t="s">
        <v>5</v>
      </c>
      <c r="G1" s="72"/>
      <c r="H1" s="72"/>
      <c r="I1" s="72"/>
      <c r="J1" s="7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33.75" customHeight="1">
      <c r="A2" s="4" t="s">
        <v>6</v>
      </c>
      <c r="B2" s="5" t="s">
        <v>7</v>
      </c>
      <c r="C2" s="5" t="s">
        <v>9</v>
      </c>
      <c r="D2" s="5" t="s">
        <v>11</v>
      </c>
      <c r="E2" s="5" t="s">
        <v>38</v>
      </c>
      <c r="F2" s="5" t="s">
        <v>39</v>
      </c>
      <c r="G2" s="5" t="s">
        <v>40</v>
      </c>
      <c r="H2" s="5" t="s">
        <v>43</v>
      </c>
      <c r="I2" s="5" t="s">
        <v>46</v>
      </c>
      <c r="J2" s="5" t="s">
        <v>50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7.25" customHeight="1">
      <c r="A3" s="85" t="s">
        <v>62</v>
      </c>
      <c r="B3" s="72"/>
      <c r="C3" s="72"/>
      <c r="D3" s="72"/>
      <c r="E3" s="72"/>
      <c r="F3" s="72"/>
      <c r="G3" s="72"/>
      <c r="H3" s="72"/>
      <c r="I3" s="72"/>
      <c r="J3" s="72"/>
      <c r="K3" s="15"/>
      <c r="L3" s="15"/>
      <c r="M3" s="15"/>
      <c r="N3" s="15"/>
      <c r="O3" s="15"/>
      <c r="P3" s="15"/>
      <c r="Q3" s="15"/>
      <c r="R3" s="15"/>
      <c r="S3" s="15"/>
      <c r="T3" s="15"/>
      <c r="U3" s="16"/>
      <c r="V3" s="16"/>
      <c r="W3" s="16"/>
      <c r="X3" s="16"/>
      <c r="Y3" s="16"/>
      <c r="Z3" s="16"/>
      <c r="AA3" s="16"/>
      <c r="AB3" s="16"/>
    </row>
    <row r="4" spans="1:28" ht="15.75" customHeight="1">
      <c r="A4" s="6">
        <v>1</v>
      </c>
      <c r="B4" s="18" t="s">
        <v>79</v>
      </c>
      <c r="C4" s="7" t="s">
        <v>27</v>
      </c>
      <c r="D4" s="19" t="s">
        <v>80</v>
      </c>
      <c r="E4" s="21" t="s">
        <v>102</v>
      </c>
      <c r="F4" s="13" t="s">
        <v>103</v>
      </c>
      <c r="G4" s="13" t="s">
        <v>103</v>
      </c>
      <c r="H4" s="13" t="s">
        <v>107</v>
      </c>
      <c r="I4" s="13"/>
      <c r="J4" s="13"/>
      <c r="K4" s="6"/>
      <c r="L4" s="14"/>
      <c r="M4" s="7"/>
      <c r="N4" s="7"/>
      <c r="O4" s="21"/>
      <c r="P4" s="13"/>
      <c r="Q4" s="13"/>
      <c r="R4" s="13"/>
      <c r="S4" s="13"/>
      <c r="T4" s="13"/>
      <c r="U4" s="2"/>
      <c r="V4" s="2"/>
      <c r="W4" s="2"/>
      <c r="X4" s="2"/>
      <c r="Y4" s="2"/>
      <c r="Z4" s="2"/>
      <c r="AA4" s="2"/>
      <c r="AB4" s="2"/>
    </row>
    <row r="5" spans="1:28" ht="15.75" customHeight="1">
      <c r="A5" s="6">
        <v>2</v>
      </c>
      <c r="B5" s="18" t="s">
        <v>95</v>
      </c>
      <c r="C5" s="7" t="s">
        <v>27</v>
      </c>
      <c r="D5" s="19" t="s">
        <v>118</v>
      </c>
      <c r="E5" s="21" t="s">
        <v>137</v>
      </c>
      <c r="F5" s="13" t="s">
        <v>103</v>
      </c>
      <c r="G5" s="13" t="s">
        <v>103</v>
      </c>
      <c r="H5" s="13" t="s">
        <v>103</v>
      </c>
      <c r="I5" s="13"/>
      <c r="J5" s="13"/>
      <c r="K5" s="6"/>
      <c r="L5" s="14"/>
      <c r="M5" s="7"/>
      <c r="N5" s="7"/>
      <c r="O5" s="21"/>
      <c r="P5" s="13"/>
      <c r="Q5" s="13"/>
      <c r="R5" s="13"/>
      <c r="S5" s="13"/>
      <c r="T5" s="13"/>
      <c r="U5" s="2"/>
      <c r="V5" s="2"/>
      <c r="W5" s="2"/>
      <c r="X5" s="2"/>
      <c r="Y5" s="2"/>
      <c r="Z5" s="2"/>
      <c r="AA5" s="2"/>
      <c r="AB5" s="2"/>
    </row>
    <row r="6" spans="1:28" ht="15.75" customHeight="1">
      <c r="A6" s="6">
        <v>3</v>
      </c>
      <c r="B6" s="18" t="s">
        <v>44</v>
      </c>
      <c r="C6" s="7" t="s">
        <v>27</v>
      </c>
      <c r="D6" s="19" t="s">
        <v>145</v>
      </c>
      <c r="E6" s="21" t="s">
        <v>155</v>
      </c>
      <c r="F6" s="13" t="s">
        <v>103</v>
      </c>
      <c r="G6" s="13"/>
      <c r="H6" s="13"/>
      <c r="I6" s="13"/>
      <c r="J6" s="13"/>
      <c r="K6" s="6"/>
      <c r="L6" s="14"/>
      <c r="M6" s="7"/>
      <c r="N6" s="7"/>
      <c r="O6" s="21"/>
      <c r="P6" s="13"/>
      <c r="Q6" s="13"/>
      <c r="R6" s="13"/>
      <c r="S6" s="13"/>
      <c r="T6" s="13"/>
      <c r="U6" s="2"/>
      <c r="V6" s="2"/>
      <c r="W6" s="2"/>
      <c r="X6" s="2"/>
      <c r="Y6" s="2"/>
      <c r="Z6" s="2"/>
      <c r="AA6" s="2"/>
      <c r="AB6" s="2"/>
    </row>
    <row r="7" spans="1:28" ht="15.75" customHeight="1">
      <c r="A7" s="6">
        <v>4</v>
      </c>
      <c r="B7" s="18" t="s">
        <v>140</v>
      </c>
      <c r="C7" s="7" t="s">
        <v>27</v>
      </c>
      <c r="D7" s="19" t="s">
        <v>168</v>
      </c>
      <c r="E7" s="21" t="s">
        <v>155</v>
      </c>
      <c r="F7" s="13" t="s">
        <v>103</v>
      </c>
      <c r="G7" s="13" t="s">
        <v>103</v>
      </c>
      <c r="H7" s="13" t="s">
        <v>107</v>
      </c>
      <c r="I7" s="13"/>
      <c r="J7" s="13"/>
      <c r="K7" s="6"/>
      <c r="L7" s="14"/>
      <c r="M7" s="7"/>
      <c r="N7" s="7"/>
      <c r="O7" s="21"/>
      <c r="P7" s="13"/>
      <c r="Q7" s="13"/>
      <c r="R7" s="13"/>
      <c r="S7" s="13"/>
      <c r="T7" s="13"/>
      <c r="U7" s="2"/>
      <c r="V7" s="2"/>
      <c r="W7" s="2"/>
      <c r="X7" s="2"/>
      <c r="Y7" s="2"/>
      <c r="Z7" s="2"/>
      <c r="AA7" s="2"/>
      <c r="AB7" s="2"/>
    </row>
    <row r="8" spans="1:28" ht="15.75" customHeight="1">
      <c r="A8" s="6">
        <v>5</v>
      </c>
      <c r="B8" s="18" t="s">
        <v>33</v>
      </c>
      <c r="C8" s="7" t="s">
        <v>75</v>
      </c>
      <c r="D8" s="19" t="s">
        <v>188</v>
      </c>
      <c r="E8" s="21" t="s">
        <v>102</v>
      </c>
      <c r="F8" s="13" t="s">
        <v>103</v>
      </c>
      <c r="G8" s="13"/>
      <c r="H8" s="13"/>
      <c r="I8" s="13"/>
      <c r="J8" s="13"/>
      <c r="K8" s="6"/>
      <c r="L8" s="14"/>
      <c r="M8" s="7"/>
      <c r="N8" s="7"/>
      <c r="O8" s="21"/>
      <c r="P8" s="13"/>
      <c r="Q8" s="13"/>
      <c r="R8" s="13"/>
      <c r="S8" s="13"/>
      <c r="T8" s="13"/>
      <c r="U8" s="2"/>
      <c r="V8" s="2"/>
      <c r="W8" s="2"/>
      <c r="X8" s="2"/>
      <c r="Y8" s="2"/>
      <c r="Z8" s="2"/>
      <c r="AA8" s="2"/>
      <c r="AB8" s="2"/>
    </row>
    <row r="9" spans="1:28" ht="15.75" customHeight="1">
      <c r="A9" s="6">
        <v>6</v>
      </c>
      <c r="B9" s="18" t="s">
        <v>86</v>
      </c>
      <c r="C9" s="7" t="s">
        <v>75</v>
      </c>
      <c r="D9" s="19" t="s">
        <v>198</v>
      </c>
      <c r="E9" s="21" t="s">
        <v>102</v>
      </c>
      <c r="F9" s="13" t="s">
        <v>103</v>
      </c>
      <c r="G9" s="13"/>
      <c r="H9" s="13"/>
      <c r="I9" s="13"/>
      <c r="J9" s="13"/>
      <c r="K9" s="6"/>
      <c r="L9" s="14"/>
      <c r="M9" s="7"/>
      <c r="N9" s="7"/>
      <c r="O9" s="21"/>
      <c r="P9" s="13"/>
      <c r="Q9" s="13"/>
      <c r="R9" s="13"/>
      <c r="S9" s="13"/>
      <c r="T9" s="13"/>
      <c r="U9" s="2"/>
      <c r="V9" s="2"/>
      <c r="W9" s="2"/>
      <c r="X9" s="2"/>
      <c r="Y9" s="2"/>
      <c r="Z9" s="2"/>
      <c r="AA9" s="2"/>
      <c r="AB9" s="2"/>
    </row>
    <row r="10" spans="1:28" ht="15.75" customHeight="1">
      <c r="A10" s="6">
        <v>7</v>
      </c>
      <c r="B10" s="18" t="s">
        <v>32</v>
      </c>
      <c r="C10" s="7" t="s">
        <v>27</v>
      </c>
      <c r="D10" s="19" t="s">
        <v>168</v>
      </c>
      <c r="E10" s="21" t="s">
        <v>102</v>
      </c>
      <c r="F10" s="13" t="s">
        <v>103</v>
      </c>
      <c r="G10" s="13" t="s">
        <v>103</v>
      </c>
      <c r="H10" s="13" t="s">
        <v>107</v>
      </c>
      <c r="I10" s="13"/>
      <c r="J10" s="13"/>
      <c r="K10" s="6"/>
      <c r="L10" s="14"/>
      <c r="M10" s="7"/>
      <c r="N10" s="7"/>
      <c r="O10" s="21"/>
      <c r="P10" s="13"/>
      <c r="Q10" s="13"/>
      <c r="R10" s="13"/>
      <c r="S10" s="13"/>
      <c r="T10" s="13"/>
      <c r="U10" s="2"/>
      <c r="V10" s="2"/>
      <c r="W10" s="2"/>
      <c r="X10" s="2"/>
      <c r="Y10" s="2"/>
      <c r="Z10" s="2"/>
      <c r="AA10" s="2"/>
      <c r="AB10" s="2"/>
    </row>
    <row r="11" spans="1:28" ht="15.75" customHeight="1">
      <c r="A11" s="6">
        <v>8</v>
      </c>
      <c r="B11" s="18" t="s">
        <v>70</v>
      </c>
      <c r="C11" s="7" t="s">
        <v>27</v>
      </c>
      <c r="D11" s="11" t="s">
        <v>125</v>
      </c>
      <c r="E11" s="21" t="s">
        <v>102</v>
      </c>
      <c r="F11" s="13" t="s">
        <v>103</v>
      </c>
      <c r="G11" s="13"/>
      <c r="H11" s="13"/>
      <c r="I11" s="13"/>
      <c r="J11" s="13"/>
      <c r="K11" s="6"/>
      <c r="L11" s="14"/>
      <c r="M11" s="7"/>
      <c r="N11" s="2"/>
      <c r="O11" s="21"/>
      <c r="P11" s="13"/>
      <c r="Q11" s="13"/>
      <c r="R11" s="13"/>
      <c r="S11" s="13"/>
      <c r="T11" s="13"/>
      <c r="U11" s="2"/>
      <c r="V11" s="2"/>
      <c r="W11" s="2"/>
      <c r="X11" s="2"/>
      <c r="Y11" s="2"/>
      <c r="Z11" s="2"/>
      <c r="AA11" s="2"/>
      <c r="AB11" s="2"/>
    </row>
    <row r="12" spans="1:28" ht="15.75" customHeight="1">
      <c r="A12" s="6">
        <v>9</v>
      </c>
      <c r="B12" s="18" t="s">
        <v>45</v>
      </c>
      <c r="C12" s="7" t="s">
        <v>27</v>
      </c>
      <c r="D12" s="19" t="s">
        <v>230</v>
      </c>
      <c r="E12" s="21" t="s">
        <v>155</v>
      </c>
      <c r="F12" s="13" t="s">
        <v>103</v>
      </c>
      <c r="G12" s="13" t="s">
        <v>103</v>
      </c>
      <c r="H12" s="13" t="s">
        <v>103</v>
      </c>
      <c r="I12" s="13"/>
      <c r="J12" s="13"/>
      <c r="K12" s="6"/>
      <c r="L12" s="14"/>
      <c r="M12" s="7"/>
      <c r="N12" s="2"/>
      <c r="O12" s="21"/>
      <c r="P12" s="13"/>
      <c r="Q12" s="13"/>
      <c r="R12" s="13"/>
      <c r="S12" s="13"/>
      <c r="T12" s="13"/>
      <c r="U12" s="2"/>
      <c r="V12" s="2"/>
      <c r="W12" s="2"/>
      <c r="X12" s="2"/>
      <c r="Y12" s="2"/>
      <c r="Z12" s="2"/>
      <c r="AA12" s="2"/>
      <c r="AB12" s="2"/>
    </row>
    <row r="13" spans="1:28" ht="15.75" customHeight="1">
      <c r="A13" s="6">
        <v>10</v>
      </c>
      <c r="B13" s="18" t="s">
        <v>242</v>
      </c>
      <c r="C13" s="7" t="s">
        <v>27</v>
      </c>
      <c r="D13" s="19" t="s">
        <v>243</v>
      </c>
      <c r="E13" s="21" t="s">
        <v>102</v>
      </c>
      <c r="F13" s="13" t="s">
        <v>103</v>
      </c>
      <c r="G13" s="13" t="s">
        <v>103</v>
      </c>
      <c r="H13" s="13" t="s">
        <v>103</v>
      </c>
      <c r="I13" s="13"/>
      <c r="J13" s="13"/>
      <c r="K13" s="6"/>
      <c r="L13" s="14"/>
      <c r="M13" s="7"/>
      <c r="N13" s="2"/>
      <c r="O13" s="21"/>
      <c r="P13" s="13"/>
      <c r="Q13" s="13"/>
      <c r="R13" s="13"/>
      <c r="S13" s="13"/>
      <c r="T13" s="13"/>
      <c r="U13" s="2"/>
      <c r="V13" s="2"/>
      <c r="W13" s="2"/>
      <c r="X13" s="2"/>
      <c r="Y13" s="2"/>
      <c r="Z13" s="2"/>
      <c r="AA13" s="2"/>
      <c r="AB13" s="2"/>
    </row>
    <row r="14" spans="1:28" ht="15.75" customHeight="1">
      <c r="A14" s="85" t="s">
        <v>253</v>
      </c>
      <c r="B14" s="72"/>
      <c r="C14" s="72"/>
      <c r="D14" s="72"/>
      <c r="E14" s="72"/>
      <c r="F14" s="72"/>
      <c r="G14" s="72"/>
      <c r="H14" s="72"/>
      <c r="I14" s="72"/>
      <c r="J14" s="72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spans="1:28" ht="15.75" customHeight="1">
      <c r="A15" s="6">
        <v>1</v>
      </c>
      <c r="B15" s="18" t="s">
        <v>25</v>
      </c>
      <c r="C15" s="7" t="s">
        <v>27</v>
      </c>
      <c r="D15" s="19" t="s">
        <v>257</v>
      </c>
      <c r="E15" s="21" t="s">
        <v>102</v>
      </c>
      <c r="F15" s="13" t="s">
        <v>103</v>
      </c>
      <c r="G15" s="13" t="s">
        <v>103</v>
      </c>
      <c r="H15" s="13" t="s">
        <v>103</v>
      </c>
      <c r="I15" s="13" t="s">
        <v>103</v>
      </c>
      <c r="J15" s="13" t="s">
        <v>107</v>
      </c>
      <c r="K15" s="16"/>
      <c r="L15" s="27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spans="1:28" ht="15.75" customHeight="1">
      <c r="A16" s="6">
        <v>2</v>
      </c>
      <c r="B16" s="18" t="s">
        <v>81</v>
      </c>
      <c r="C16" s="7" t="s">
        <v>27</v>
      </c>
      <c r="D16" s="19" t="s">
        <v>266</v>
      </c>
      <c r="E16" s="21" t="s">
        <v>102</v>
      </c>
      <c r="F16" s="13" t="s">
        <v>103</v>
      </c>
      <c r="G16" s="13" t="s">
        <v>103</v>
      </c>
      <c r="H16" s="13" t="s">
        <v>103</v>
      </c>
      <c r="I16" s="13" t="s">
        <v>103</v>
      </c>
      <c r="J16" s="13" t="s">
        <v>107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spans="1:28" ht="15.75" customHeight="1">
      <c r="A17" s="6">
        <v>3</v>
      </c>
      <c r="B17" s="18" t="s">
        <v>26</v>
      </c>
      <c r="C17" s="7" t="s">
        <v>27</v>
      </c>
      <c r="D17" s="19" t="s">
        <v>276</v>
      </c>
      <c r="E17" s="21" t="s">
        <v>102</v>
      </c>
      <c r="F17" s="13" t="s">
        <v>103</v>
      </c>
      <c r="G17" s="13" t="s">
        <v>103</v>
      </c>
      <c r="H17" s="13" t="s">
        <v>103</v>
      </c>
      <c r="I17" s="13" t="s">
        <v>103</v>
      </c>
      <c r="J17" s="13" t="s">
        <v>107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spans="1:28" ht="15.75" customHeight="1">
      <c r="A18" s="6">
        <v>4</v>
      </c>
      <c r="B18" s="18" t="s">
        <v>292</v>
      </c>
      <c r="C18" s="7" t="s">
        <v>27</v>
      </c>
      <c r="D18" s="19" t="s">
        <v>293</v>
      </c>
      <c r="E18" s="21" t="s">
        <v>102</v>
      </c>
      <c r="F18" s="13" t="s">
        <v>103</v>
      </c>
      <c r="G18" s="13" t="s">
        <v>103</v>
      </c>
      <c r="H18" s="13" t="s">
        <v>103</v>
      </c>
      <c r="I18" s="13" t="s">
        <v>103</v>
      </c>
      <c r="J18" s="13" t="s">
        <v>107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spans="1:28" ht="15.75" customHeight="1">
      <c r="A19" s="6">
        <v>7</v>
      </c>
      <c r="B19" s="18" t="s">
        <v>69</v>
      </c>
      <c r="C19" s="7" t="s">
        <v>27</v>
      </c>
      <c r="D19" s="19" t="s">
        <v>298</v>
      </c>
      <c r="E19" s="21" t="s">
        <v>102</v>
      </c>
      <c r="F19" s="13" t="s">
        <v>103</v>
      </c>
      <c r="G19" s="13" t="s">
        <v>103</v>
      </c>
      <c r="H19" s="13" t="s">
        <v>103</v>
      </c>
      <c r="I19" s="13" t="s">
        <v>103</v>
      </c>
      <c r="J19" s="13" t="s">
        <v>107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spans="1:28" ht="15.75" customHeight="1">
      <c r="A20" s="6">
        <v>8</v>
      </c>
      <c r="B20" s="18" t="s">
        <v>31</v>
      </c>
      <c r="C20" s="7" t="s">
        <v>27</v>
      </c>
      <c r="D20" s="19" t="s">
        <v>168</v>
      </c>
      <c r="E20" s="21" t="s">
        <v>102</v>
      </c>
      <c r="F20" s="13" t="s">
        <v>103</v>
      </c>
      <c r="G20" s="13" t="s">
        <v>103</v>
      </c>
      <c r="H20" s="13" t="s">
        <v>103</v>
      </c>
      <c r="I20" s="13" t="s">
        <v>103</v>
      </c>
      <c r="J20" s="13" t="s">
        <v>107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spans="1:28" ht="17.25" customHeight="1">
      <c r="A21" s="85" t="s">
        <v>312</v>
      </c>
      <c r="B21" s="72"/>
      <c r="C21" s="72"/>
      <c r="D21" s="72"/>
      <c r="E21" s="72"/>
      <c r="F21" s="72"/>
      <c r="G21" s="72"/>
      <c r="H21" s="72"/>
      <c r="I21" s="72"/>
      <c r="J21" s="72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spans="1:28" ht="17.25" customHeight="1">
      <c r="A22" s="6">
        <v>1</v>
      </c>
      <c r="B22" s="18" t="s">
        <v>25</v>
      </c>
      <c r="C22" s="7" t="s">
        <v>27</v>
      </c>
      <c r="D22" s="19" t="s">
        <v>257</v>
      </c>
      <c r="E22" s="21" t="s">
        <v>314</v>
      </c>
      <c r="F22" s="13" t="s">
        <v>103</v>
      </c>
      <c r="G22" s="13" t="s">
        <v>103</v>
      </c>
      <c r="H22" s="13" t="s">
        <v>103</v>
      </c>
      <c r="I22" s="13" t="s">
        <v>103</v>
      </c>
      <c r="J22" s="13" t="s">
        <v>107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 spans="1:28" ht="17.25" customHeight="1">
      <c r="A23" s="6">
        <v>2</v>
      </c>
      <c r="B23" s="18" t="s">
        <v>81</v>
      </c>
      <c r="C23" s="7" t="s">
        <v>27</v>
      </c>
      <c r="D23" s="19" t="s">
        <v>266</v>
      </c>
      <c r="E23" s="21" t="s">
        <v>102</v>
      </c>
      <c r="F23" s="13" t="s">
        <v>103</v>
      </c>
      <c r="G23" s="13" t="s">
        <v>103</v>
      </c>
      <c r="H23" s="13" t="s">
        <v>103</v>
      </c>
      <c r="I23" s="13" t="s">
        <v>103</v>
      </c>
      <c r="J23" s="13" t="s">
        <v>107</v>
      </c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spans="1:28" ht="17.25" customHeight="1">
      <c r="A24" s="6">
        <v>3</v>
      </c>
      <c r="B24" s="18" t="s">
        <v>26</v>
      </c>
      <c r="C24" s="7" t="s">
        <v>27</v>
      </c>
      <c r="D24" s="19" t="s">
        <v>276</v>
      </c>
      <c r="E24" s="21" t="s">
        <v>102</v>
      </c>
      <c r="F24" s="13" t="s">
        <v>103</v>
      </c>
      <c r="G24" s="13" t="s">
        <v>103</v>
      </c>
      <c r="H24" s="13" t="s">
        <v>103</v>
      </c>
      <c r="I24" s="13" t="s">
        <v>103</v>
      </c>
      <c r="J24" s="13" t="s">
        <v>107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spans="1:28" ht="17.25" customHeight="1">
      <c r="A25" s="6">
        <v>9</v>
      </c>
      <c r="B25" s="18" t="s">
        <v>82</v>
      </c>
      <c r="C25" s="7" t="s">
        <v>27</v>
      </c>
      <c r="D25" s="19" t="s">
        <v>326</v>
      </c>
      <c r="E25" s="21" t="s">
        <v>102</v>
      </c>
      <c r="F25" s="13" t="s">
        <v>103</v>
      </c>
      <c r="G25" s="13" t="s">
        <v>103</v>
      </c>
      <c r="H25" s="13" t="s">
        <v>103</v>
      </c>
      <c r="I25" s="13" t="s">
        <v>103</v>
      </c>
      <c r="J25" s="13" t="s">
        <v>107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spans="1:28" ht="17.25" customHeight="1">
      <c r="A26" s="85" t="s">
        <v>332</v>
      </c>
      <c r="B26" s="72"/>
      <c r="C26" s="72"/>
      <c r="D26" s="72"/>
      <c r="E26" s="72"/>
      <c r="F26" s="72"/>
      <c r="G26" s="72"/>
      <c r="H26" s="72"/>
      <c r="I26" s="72"/>
      <c r="J26" s="72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 spans="1:28" ht="17.25" customHeight="1">
      <c r="A27" s="6">
        <v>1</v>
      </c>
      <c r="B27" s="18" t="s">
        <v>25</v>
      </c>
      <c r="C27" s="7" t="s">
        <v>27</v>
      </c>
      <c r="D27" s="19" t="s">
        <v>257</v>
      </c>
      <c r="E27" s="21" t="s">
        <v>102</v>
      </c>
      <c r="F27" s="13" t="s">
        <v>103</v>
      </c>
      <c r="G27" s="13" t="s">
        <v>103</v>
      </c>
      <c r="H27" s="13" t="s">
        <v>103</v>
      </c>
      <c r="I27" s="13" t="s">
        <v>103</v>
      </c>
      <c r="J27" s="13" t="s">
        <v>107</v>
      </c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spans="1:28" ht="17.25" customHeight="1">
      <c r="A28" s="6">
        <v>2</v>
      </c>
      <c r="B28" s="18" t="s">
        <v>81</v>
      </c>
      <c r="C28" s="7" t="s">
        <v>27</v>
      </c>
      <c r="D28" s="19" t="s">
        <v>266</v>
      </c>
      <c r="E28" s="21" t="s">
        <v>102</v>
      </c>
      <c r="F28" s="13" t="s">
        <v>103</v>
      </c>
      <c r="G28" s="13" t="s">
        <v>103</v>
      </c>
      <c r="H28" s="13" t="s">
        <v>103</v>
      </c>
      <c r="I28" s="13" t="s">
        <v>103</v>
      </c>
      <c r="J28" s="13" t="s">
        <v>107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 spans="1:28" ht="17.25" customHeight="1">
      <c r="A29" s="6">
        <v>3</v>
      </c>
      <c r="B29" s="18" t="s">
        <v>26</v>
      </c>
      <c r="C29" s="7" t="s">
        <v>27</v>
      </c>
      <c r="D29" s="19" t="s">
        <v>276</v>
      </c>
      <c r="E29" s="21" t="s">
        <v>102</v>
      </c>
      <c r="F29" s="13" t="s">
        <v>103</v>
      </c>
      <c r="G29" s="13" t="s">
        <v>103</v>
      </c>
      <c r="H29" s="13" t="s">
        <v>103</v>
      </c>
      <c r="I29" s="13" t="s">
        <v>103</v>
      </c>
      <c r="J29" s="13" t="s">
        <v>107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 spans="1:28" ht="17.25" customHeight="1">
      <c r="A30" s="6">
        <v>4</v>
      </c>
      <c r="B30" s="18" t="s">
        <v>117</v>
      </c>
      <c r="C30" s="7" t="s">
        <v>27</v>
      </c>
      <c r="D30" s="19" t="s">
        <v>363</v>
      </c>
      <c r="E30" s="21" t="s">
        <v>102</v>
      </c>
      <c r="F30" s="13" t="s">
        <v>103</v>
      </c>
      <c r="G30" s="13" t="s">
        <v>103</v>
      </c>
      <c r="H30" s="13" t="s">
        <v>103</v>
      </c>
      <c r="I30" s="13" t="s">
        <v>103</v>
      </c>
      <c r="J30" s="13" t="s">
        <v>107</v>
      </c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 spans="1:28" ht="17.25" customHeight="1">
      <c r="A31" s="6">
        <v>5</v>
      </c>
      <c r="B31" s="18" t="s">
        <v>79</v>
      </c>
      <c r="C31" s="7" t="s">
        <v>27</v>
      </c>
      <c r="D31" s="19" t="s">
        <v>80</v>
      </c>
      <c r="E31" s="21" t="s">
        <v>102</v>
      </c>
      <c r="F31" s="13" t="s">
        <v>103</v>
      </c>
      <c r="G31" s="13" t="s">
        <v>103</v>
      </c>
      <c r="H31" s="13" t="s">
        <v>103</v>
      </c>
      <c r="I31" s="13" t="s">
        <v>103</v>
      </c>
      <c r="J31" s="13" t="s">
        <v>107</v>
      </c>
      <c r="K31" s="7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 spans="1:28" ht="17.25" customHeight="1">
      <c r="A32" s="6">
        <v>6</v>
      </c>
      <c r="B32" s="18" t="s">
        <v>69</v>
      </c>
      <c r="C32" s="7" t="s">
        <v>27</v>
      </c>
      <c r="D32" s="19" t="s">
        <v>298</v>
      </c>
      <c r="E32" s="21" t="s">
        <v>102</v>
      </c>
      <c r="F32" s="13" t="s">
        <v>103</v>
      </c>
      <c r="G32" s="13" t="s">
        <v>103</v>
      </c>
      <c r="H32" s="13" t="s">
        <v>103</v>
      </c>
      <c r="I32" s="13" t="s">
        <v>103</v>
      </c>
      <c r="J32" s="13" t="s">
        <v>107</v>
      </c>
      <c r="K32" s="7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 spans="1:28" ht="17.25" customHeight="1">
      <c r="A33" s="6">
        <v>7</v>
      </c>
      <c r="B33" s="18" t="s">
        <v>31</v>
      </c>
      <c r="C33" s="7" t="s">
        <v>27</v>
      </c>
      <c r="D33" s="19" t="s">
        <v>168</v>
      </c>
      <c r="E33" s="21" t="s">
        <v>102</v>
      </c>
      <c r="F33" s="13" t="s">
        <v>103</v>
      </c>
      <c r="G33" s="13" t="s">
        <v>103</v>
      </c>
      <c r="H33" s="13" t="s">
        <v>103</v>
      </c>
      <c r="I33" s="13" t="s">
        <v>103</v>
      </c>
      <c r="J33" s="13" t="s">
        <v>107</v>
      </c>
      <c r="K33" s="7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 spans="1:28" ht="17.25" customHeight="1">
      <c r="A34" s="6">
        <v>8</v>
      </c>
      <c r="B34" s="18" t="s">
        <v>82</v>
      </c>
      <c r="C34" s="7" t="s">
        <v>27</v>
      </c>
      <c r="D34" s="19" t="s">
        <v>326</v>
      </c>
      <c r="E34" s="21" t="s">
        <v>102</v>
      </c>
      <c r="F34" s="13" t="s">
        <v>103</v>
      </c>
      <c r="G34" s="13" t="s">
        <v>103</v>
      </c>
      <c r="H34" s="13" t="s">
        <v>103</v>
      </c>
      <c r="I34" s="13" t="s">
        <v>103</v>
      </c>
      <c r="J34" s="13" t="s">
        <v>107</v>
      </c>
      <c r="K34" s="7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 spans="1:28" ht="17.25" customHeight="1">
      <c r="A35" s="6">
        <v>9</v>
      </c>
      <c r="B35" s="18" t="s">
        <v>95</v>
      </c>
      <c r="C35" s="7" t="s">
        <v>27</v>
      </c>
      <c r="D35" s="19" t="s">
        <v>118</v>
      </c>
      <c r="E35" s="21" t="s">
        <v>102</v>
      </c>
      <c r="F35" s="13" t="s">
        <v>103</v>
      </c>
      <c r="G35" s="13" t="s">
        <v>103</v>
      </c>
      <c r="H35" s="13" t="s">
        <v>103</v>
      </c>
      <c r="I35" s="13" t="s">
        <v>103</v>
      </c>
      <c r="J35" s="13" t="s">
        <v>107</v>
      </c>
      <c r="K35" s="7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spans="1:28" ht="17.25" customHeight="1">
      <c r="A36" s="85" t="s">
        <v>428</v>
      </c>
      <c r="B36" s="72"/>
      <c r="C36" s="72"/>
      <c r="D36" s="72"/>
      <c r="E36" s="72"/>
      <c r="F36" s="72"/>
      <c r="G36" s="72"/>
      <c r="H36" s="72"/>
      <c r="I36" s="72"/>
      <c r="J36" s="7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7.25" customHeight="1">
      <c r="A37" s="6">
        <v>1</v>
      </c>
      <c r="B37" s="18" t="s">
        <v>25</v>
      </c>
      <c r="C37" s="7" t="s">
        <v>27</v>
      </c>
      <c r="D37" s="19" t="s">
        <v>257</v>
      </c>
      <c r="E37" s="21" t="s">
        <v>102</v>
      </c>
      <c r="F37" s="13" t="s">
        <v>103</v>
      </c>
      <c r="G37" s="13" t="s">
        <v>103</v>
      </c>
      <c r="H37" s="13" t="s">
        <v>103</v>
      </c>
      <c r="I37" s="13" t="s">
        <v>103</v>
      </c>
      <c r="J37" s="13" t="s">
        <v>103</v>
      </c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 spans="1:28" ht="17.25" customHeight="1">
      <c r="A38" s="6">
        <v>2</v>
      </c>
      <c r="B38" s="18" t="s">
        <v>70</v>
      </c>
      <c r="C38" s="7" t="s">
        <v>27</v>
      </c>
      <c r="D38" s="11" t="s">
        <v>125</v>
      </c>
      <c r="E38" s="21" t="s">
        <v>102</v>
      </c>
      <c r="F38" s="13" t="s">
        <v>103</v>
      </c>
      <c r="G38" s="13" t="s">
        <v>103</v>
      </c>
      <c r="H38" s="13" t="s">
        <v>103</v>
      </c>
      <c r="I38" s="13" t="s">
        <v>103</v>
      </c>
      <c r="J38" s="13" t="s">
        <v>103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 spans="1:28" ht="17.25" customHeight="1">
      <c r="A39" s="6">
        <v>3</v>
      </c>
      <c r="B39" s="18" t="s">
        <v>117</v>
      </c>
      <c r="C39" s="7" t="s">
        <v>27</v>
      </c>
      <c r="D39" s="19" t="s">
        <v>363</v>
      </c>
      <c r="E39" s="21" t="s">
        <v>102</v>
      </c>
      <c r="F39" s="13" t="s">
        <v>103</v>
      </c>
      <c r="G39" s="13" t="s">
        <v>103</v>
      </c>
      <c r="H39" s="13" t="s">
        <v>103</v>
      </c>
      <c r="I39" s="13" t="s">
        <v>103</v>
      </c>
      <c r="J39" s="13" t="s">
        <v>103</v>
      </c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 spans="1:28" ht="17.25" customHeight="1">
      <c r="A40" s="6">
        <v>4</v>
      </c>
      <c r="B40" s="18" t="s">
        <v>45</v>
      </c>
      <c r="C40" s="7" t="s">
        <v>27</v>
      </c>
      <c r="D40" s="19" t="s">
        <v>230</v>
      </c>
      <c r="E40" s="21" t="s">
        <v>102</v>
      </c>
      <c r="F40" s="13" t="s">
        <v>103</v>
      </c>
      <c r="G40" s="13" t="s">
        <v>103</v>
      </c>
      <c r="H40" s="13" t="s">
        <v>103</v>
      </c>
      <c r="I40" s="13" t="s">
        <v>103</v>
      </c>
      <c r="J40" s="13" t="s">
        <v>103</v>
      </c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 spans="1:28" ht="17.25" customHeight="1">
      <c r="A41" s="6">
        <v>5</v>
      </c>
      <c r="B41" s="18" t="s">
        <v>79</v>
      </c>
      <c r="C41" s="7" t="s">
        <v>27</v>
      </c>
      <c r="D41" s="19" t="s">
        <v>80</v>
      </c>
      <c r="E41" s="21" t="s">
        <v>102</v>
      </c>
      <c r="F41" s="13" t="s">
        <v>103</v>
      </c>
      <c r="G41" s="13" t="s">
        <v>103</v>
      </c>
      <c r="H41" s="13" t="s">
        <v>103</v>
      </c>
      <c r="I41" s="13" t="s">
        <v>103</v>
      </c>
      <c r="J41" s="13" t="s">
        <v>103</v>
      </c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 spans="1:28" ht="17.25" customHeight="1">
      <c r="A42" s="6">
        <v>6</v>
      </c>
      <c r="B42" s="18" t="s">
        <v>367</v>
      </c>
      <c r="C42" s="7" t="s">
        <v>27</v>
      </c>
      <c r="D42" s="19" t="s">
        <v>402</v>
      </c>
      <c r="E42" s="21" t="s">
        <v>102</v>
      </c>
      <c r="F42" s="13" t="s">
        <v>103</v>
      </c>
      <c r="G42" s="13" t="s">
        <v>103</v>
      </c>
      <c r="H42" s="13" t="s">
        <v>103</v>
      </c>
      <c r="I42" s="13" t="s">
        <v>103</v>
      </c>
      <c r="J42" s="13" t="s">
        <v>103</v>
      </c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 spans="1:28" ht="17.25" customHeight="1">
      <c r="A43" s="6">
        <v>7</v>
      </c>
      <c r="B43" s="18" t="s">
        <v>82</v>
      </c>
      <c r="C43" s="7" t="s">
        <v>27</v>
      </c>
      <c r="D43" s="19" t="s">
        <v>326</v>
      </c>
      <c r="E43" s="21" t="s">
        <v>102</v>
      </c>
      <c r="F43" s="13" t="s">
        <v>103</v>
      </c>
      <c r="G43" s="13" t="s">
        <v>103</v>
      </c>
      <c r="H43" s="13" t="s">
        <v>103</v>
      </c>
      <c r="I43" s="13" t="s">
        <v>103</v>
      </c>
      <c r="J43" s="13" t="s">
        <v>103</v>
      </c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 spans="1:28" ht="17.25" customHeight="1">
      <c r="A44" s="6">
        <v>8</v>
      </c>
      <c r="B44" s="18" t="s">
        <v>69</v>
      </c>
      <c r="C44" s="7" t="s">
        <v>27</v>
      </c>
      <c r="D44" s="19" t="s">
        <v>298</v>
      </c>
      <c r="E44" s="21" t="s">
        <v>102</v>
      </c>
      <c r="F44" s="13" t="s">
        <v>103</v>
      </c>
      <c r="G44" s="13" t="s">
        <v>103</v>
      </c>
      <c r="H44" s="13" t="s">
        <v>103</v>
      </c>
      <c r="I44" s="13" t="s">
        <v>103</v>
      </c>
      <c r="J44" s="13" t="s">
        <v>103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 spans="1:28" ht="17.25" customHeight="1">
      <c r="A45" s="6">
        <v>9</v>
      </c>
      <c r="B45" s="18" t="s">
        <v>154</v>
      </c>
      <c r="C45" s="7" t="s">
        <v>27</v>
      </c>
      <c r="D45" s="19" t="s">
        <v>439</v>
      </c>
      <c r="E45" s="21" t="s">
        <v>155</v>
      </c>
      <c r="F45" s="13" t="s">
        <v>103</v>
      </c>
      <c r="G45" s="13" t="s">
        <v>103</v>
      </c>
      <c r="H45" s="13" t="s">
        <v>103</v>
      </c>
      <c r="I45" s="13" t="s">
        <v>103</v>
      </c>
      <c r="J45" s="13" t="s">
        <v>103</v>
      </c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 spans="1:28" ht="17.25" customHeight="1">
      <c r="A46" s="6">
        <v>10</v>
      </c>
      <c r="B46" s="18" t="s">
        <v>242</v>
      </c>
      <c r="C46" s="7" t="s">
        <v>27</v>
      </c>
      <c r="D46" s="19" t="s">
        <v>243</v>
      </c>
      <c r="E46" s="21" t="s">
        <v>155</v>
      </c>
      <c r="F46" s="13" t="s">
        <v>103</v>
      </c>
      <c r="G46" s="13" t="s">
        <v>103</v>
      </c>
      <c r="H46" s="13" t="s">
        <v>103</v>
      </c>
      <c r="I46" s="13" t="s">
        <v>103</v>
      </c>
      <c r="J46" s="13" t="s">
        <v>103</v>
      </c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 spans="1:28" ht="17.25" customHeight="1">
      <c r="A47" s="6">
        <v>11</v>
      </c>
      <c r="B47" s="18" t="s">
        <v>369</v>
      </c>
      <c r="C47" s="7" t="s">
        <v>27</v>
      </c>
      <c r="D47" s="19" t="s">
        <v>370</v>
      </c>
      <c r="E47" s="21" t="s">
        <v>155</v>
      </c>
      <c r="F47" s="13" t="s">
        <v>103</v>
      </c>
      <c r="G47" s="13" t="s">
        <v>103</v>
      </c>
      <c r="H47" s="13" t="s">
        <v>103</v>
      </c>
      <c r="I47" s="13" t="s">
        <v>103</v>
      </c>
      <c r="J47" s="13" t="s">
        <v>103</v>
      </c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 spans="1:28" ht="17.25" customHeight="1">
      <c r="A48" s="6">
        <v>12</v>
      </c>
      <c r="B48" s="18" t="s">
        <v>84</v>
      </c>
      <c r="C48" s="7" t="s">
        <v>398</v>
      </c>
      <c r="D48" s="19" t="s">
        <v>399</v>
      </c>
      <c r="E48" s="21" t="s">
        <v>155</v>
      </c>
      <c r="F48" s="13" t="s">
        <v>103</v>
      </c>
      <c r="G48" s="13" t="s">
        <v>103</v>
      </c>
      <c r="H48" s="13" t="s">
        <v>103</v>
      </c>
      <c r="I48" s="13" t="s">
        <v>103</v>
      </c>
      <c r="J48" s="13" t="s">
        <v>103</v>
      </c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 spans="1:28" ht="17.25" customHeight="1">
      <c r="A49" s="6">
        <v>13</v>
      </c>
      <c r="B49" s="18" t="s">
        <v>388</v>
      </c>
      <c r="C49" s="7" t="s">
        <v>27</v>
      </c>
      <c r="D49" s="41" t="s">
        <v>389</v>
      </c>
      <c r="E49" s="9" t="s">
        <v>155</v>
      </c>
      <c r="F49" s="13" t="s">
        <v>103</v>
      </c>
      <c r="G49" s="13" t="s">
        <v>103</v>
      </c>
      <c r="H49" s="13" t="s">
        <v>103</v>
      </c>
      <c r="I49" s="13" t="s">
        <v>103</v>
      </c>
      <c r="J49" s="13" t="s">
        <v>103</v>
      </c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 spans="1:28" ht="17.25" customHeight="1">
      <c r="A50" s="6">
        <v>14</v>
      </c>
      <c r="B50" s="18" t="s">
        <v>171</v>
      </c>
      <c r="C50" s="7" t="s">
        <v>27</v>
      </c>
      <c r="D50" s="41" t="s">
        <v>443</v>
      </c>
      <c r="E50" s="9" t="s">
        <v>155</v>
      </c>
      <c r="F50" s="13" t="s">
        <v>103</v>
      </c>
      <c r="G50" s="13" t="s">
        <v>103</v>
      </c>
      <c r="H50" s="13" t="s">
        <v>103</v>
      </c>
      <c r="I50" s="13" t="s">
        <v>103</v>
      </c>
      <c r="J50" s="13" t="s">
        <v>103</v>
      </c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 spans="1:28" ht="17.25" customHeight="1">
      <c r="A51" s="6">
        <v>15</v>
      </c>
      <c r="B51" s="18" t="s">
        <v>194</v>
      </c>
      <c r="C51" s="7" t="s">
        <v>27</v>
      </c>
      <c r="D51" s="41" t="s">
        <v>445</v>
      </c>
      <c r="E51" s="9" t="s">
        <v>155</v>
      </c>
      <c r="F51" s="13" t="s">
        <v>103</v>
      </c>
      <c r="G51" s="13" t="s">
        <v>103</v>
      </c>
      <c r="H51" s="13" t="s">
        <v>103</v>
      </c>
      <c r="I51" s="13" t="s">
        <v>103</v>
      </c>
      <c r="J51" s="13" t="s">
        <v>103</v>
      </c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 spans="1:28" ht="17.25" customHeight="1">
      <c r="A52" s="6">
        <v>16</v>
      </c>
      <c r="B52" s="18" t="s">
        <v>81</v>
      </c>
      <c r="C52" s="7" t="s">
        <v>27</v>
      </c>
      <c r="D52" s="19" t="s">
        <v>266</v>
      </c>
      <c r="E52" s="9" t="s">
        <v>102</v>
      </c>
      <c r="F52" s="13" t="s">
        <v>103</v>
      </c>
      <c r="G52" s="13" t="s">
        <v>103</v>
      </c>
      <c r="H52" s="13" t="s">
        <v>103</v>
      </c>
      <c r="I52" s="13" t="s">
        <v>103</v>
      </c>
      <c r="J52" s="13" t="s">
        <v>103</v>
      </c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 spans="1:28" ht="17.25" customHeight="1">
      <c r="A53" s="6">
        <v>17</v>
      </c>
      <c r="B53" s="18" t="s">
        <v>31</v>
      </c>
      <c r="C53" s="7" t="s">
        <v>27</v>
      </c>
      <c r="D53" s="19" t="s">
        <v>168</v>
      </c>
      <c r="E53" s="9" t="s">
        <v>102</v>
      </c>
      <c r="F53" s="13" t="s">
        <v>103</v>
      </c>
      <c r="G53" s="13" t="s">
        <v>103</v>
      </c>
      <c r="H53" s="13" t="s">
        <v>103</v>
      </c>
      <c r="I53" s="13" t="s">
        <v>103</v>
      </c>
      <c r="J53" s="13" t="s">
        <v>103</v>
      </c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 spans="1:28" ht="17.25" customHeight="1">
      <c r="A54" s="85" t="s">
        <v>451</v>
      </c>
      <c r="B54" s="72"/>
      <c r="C54" s="72"/>
      <c r="D54" s="72"/>
      <c r="E54" s="72"/>
      <c r="F54" s="72"/>
      <c r="G54" s="72"/>
      <c r="H54" s="72"/>
      <c r="I54" s="72"/>
      <c r="J54" s="7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7.25" customHeight="1">
      <c r="A55" s="6">
        <v>1</v>
      </c>
      <c r="B55" s="18" t="s">
        <v>25</v>
      </c>
      <c r="C55" s="7" t="s">
        <v>27</v>
      </c>
      <c r="D55" s="19" t="s">
        <v>257</v>
      </c>
      <c r="E55" s="21" t="s">
        <v>102</v>
      </c>
      <c r="F55" s="13" t="s">
        <v>103</v>
      </c>
      <c r="G55" s="13" t="s">
        <v>103</v>
      </c>
      <c r="H55" s="13" t="s">
        <v>103</v>
      </c>
      <c r="I55" s="13" t="s">
        <v>103</v>
      </c>
      <c r="J55" s="13" t="s">
        <v>103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7.25" customHeight="1">
      <c r="A56" s="6">
        <v>2</v>
      </c>
      <c r="B56" s="18" t="s">
        <v>70</v>
      </c>
      <c r="C56" s="7" t="s">
        <v>27</v>
      </c>
      <c r="D56" s="11" t="s">
        <v>125</v>
      </c>
      <c r="E56" s="21" t="s">
        <v>102</v>
      </c>
      <c r="F56" s="13" t="s">
        <v>103</v>
      </c>
      <c r="G56" s="13" t="s">
        <v>103</v>
      </c>
      <c r="H56" s="13" t="s">
        <v>103</v>
      </c>
      <c r="I56" s="13" t="s">
        <v>103</v>
      </c>
      <c r="J56" s="13" t="s">
        <v>103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7.25" customHeight="1">
      <c r="A57" s="6">
        <v>3</v>
      </c>
      <c r="B57" s="18" t="s">
        <v>117</v>
      </c>
      <c r="C57" s="7" t="s">
        <v>27</v>
      </c>
      <c r="D57" s="19" t="s">
        <v>363</v>
      </c>
      <c r="E57" s="21" t="s">
        <v>102</v>
      </c>
      <c r="F57" s="13" t="s">
        <v>103</v>
      </c>
      <c r="G57" s="13" t="s">
        <v>103</v>
      </c>
      <c r="H57" s="13" t="s">
        <v>103</v>
      </c>
      <c r="I57" s="13" t="s">
        <v>103</v>
      </c>
      <c r="J57" s="13" t="s">
        <v>103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7.25" customHeight="1">
      <c r="A58" s="6">
        <v>4</v>
      </c>
      <c r="B58" s="18" t="s">
        <v>45</v>
      </c>
      <c r="C58" s="7" t="s">
        <v>27</v>
      </c>
      <c r="D58" s="19" t="s">
        <v>230</v>
      </c>
      <c r="E58" s="21" t="s">
        <v>102</v>
      </c>
      <c r="F58" s="13" t="s">
        <v>103</v>
      </c>
      <c r="G58" s="13" t="s">
        <v>103</v>
      </c>
      <c r="H58" s="13" t="s">
        <v>103</v>
      </c>
      <c r="I58" s="13" t="s">
        <v>103</v>
      </c>
      <c r="J58" s="13" t="s">
        <v>103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7.25" customHeight="1">
      <c r="A59" s="6">
        <v>5</v>
      </c>
      <c r="B59" s="18" t="s">
        <v>79</v>
      </c>
      <c r="C59" s="7" t="s">
        <v>27</v>
      </c>
      <c r="D59" s="19" t="s">
        <v>80</v>
      </c>
      <c r="E59" s="21" t="s">
        <v>102</v>
      </c>
      <c r="F59" s="13" t="s">
        <v>103</v>
      </c>
      <c r="G59" s="13" t="s">
        <v>103</v>
      </c>
      <c r="H59" s="13" t="s">
        <v>103</v>
      </c>
      <c r="I59" s="13" t="s">
        <v>103</v>
      </c>
      <c r="J59" s="13" t="s">
        <v>103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7.25" customHeight="1">
      <c r="A60" s="6">
        <v>6</v>
      </c>
      <c r="B60" s="18" t="s">
        <v>367</v>
      </c>
      <c r="C60" s="7" t="s">
        <v>27</v>
      </c>
      <c r="D60" s="19" t="s">
        <v>402</v>
      </c>
      <c r="E60" s="21" t="s">
        <v>102</v>
      </c>
      <c r="F60" s="13" t="s">
        <v>103</v>
      </c>
      <c r="G60" s="13" t="s">
        <v>103</v>
      </c>
      <c r="H60" s="13" t="s">
        <v>103</v>
      </c>
      <c r="I60" s="13" t="s">
        <v>103</v>
      </c>
      <c r="J60" s="13" t="s">
        <v>103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7.25" customHeight="1">
      <c r="A61" s="6">
        <v>7</v>
      </c>
      <c r="B61" s="18" t="s">
        <v>82</v>
      </c>
      <c r="C61" s="7" t="s">
        <v>27</v>
      </c>
      <c r="D61" s="19" t="s">
        <v>326</v>
      </c>
      <c r="E61" s="21" t="s">
        <v>102</v>
      </c>
      <c r="F61" s="13" t="s">
        <v>103</v>
      </c>
      <c r="G61" s="13" t="s">
        <v>103</v>
      </c>
      <c r="H61" s="13" t="s">
        <v>103</v>
      </c>
      <c r="I61" s="13" t="s">
        <v>103</v>
      </c>
      <c r="J61" s="13" t="s">
        <v>103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7.25" customHeight="1">
      <c r="A62" s="6">
        <v>8</v>
      </c>
      <c r="B62" s="18" t="s">
        <v>69</v>
      </c>
      <c r="C62" s="7" t="s">
        <v>27</v>
      </c>
      <c r="D62" s="19" t="s">
        <v>298</v>
      </c>
      <c r="E62" s="21" t="s">
        <v>102</v>
      </c>
      <c r="F62" s="13" t="s">
        <v>103</v>
      </c>
      <c r="G62" s="13" t="s">
        <v>103</v>
      </c>
      <c r="H62" s="13" t="s">
        <v>103</v>
      </c>
      <c r="I62" s="13" t="s">
        <v>103</v>
      </c>
      <c r="J62" s="13" t="s">
        <v>103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7.25" customHeight="1">
      <c r="A63" s="6">
        <v>9</v>
      </c>
      <c r="B63" s="18" t="s">
        <v>154</v>
      </c>
      <c r="C63" s="7" t="s">
        <v>27</v>
      </c>
      <c r="D63" s="19" t="s">
        <v>439</v>
      </c>
      <c r="E63" s="21" t="s">
        <v>102</v>
      </c>
      <c r="F63" s="13" t="s">
        <v>103</v>
      </c>
      <c r="G63" s="13" t="s">
        <v>103</v>
      </c>
      <c r="H63" s="13" t="s">
        <v>103</v>
      </c>
      <c r="I63" s="13" t="s">
        <v>103</v>
      </c>
      <c r="J63" s="13" t="s">
        <v>103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7.25" customHeight="1">
      <c r="A64" s="6">
        <v>10</v>
      </c>
      <c r="B64" s="18" t="s">
        <v>242</v>
      </c>
      <c r="C64" s="7" t="s">
        <v>27</v>
      </c>
      <c r="D64" s="19" t="s">
        <v>243</v>
      </c>
      <c r="E64" s="21" t="s">
        <v>102</v>
      </c>
      <c r="F64" s="13" t="s">
        <v>103</v>
      </c>
      <c r="G64" s="13" t="s">
        <v>103</v>
      </c>
      <c r="H64" s="13" t="s">
        <v>103</v>
      </c>
      <c r="I64" s="13" t="s">
        <v>103</v>
      </c>
      <c r="J64" s="13" t="s">
        <v>103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7.25" customHeight="1">
      <c r="A65" s="6">
        <v>11</v>
      </c>
      <c r="B65" s="18" t="s">
        <v>369</v>
      </c>
      <c r="C65" s="7" t="s">
        <v>27</v>
      </c>
      <c r="D65" s="19" t="s">
        <v>370</v>
      </c>
      <c r="E65" s="21" t="s">
        <v>102</v>
      </c>
      <c r="F65" s="13" t="s">
        <v>103</v>
      </c>
      <c r="G65" s="13" t="s">
        <v>103</v>
      </c>
      <c r="H65" s="13" t="s">
        <v>103</v>
      </c>
      <c r="I65" s="13" t="s">
        <v>103</v>
      </c>
      <c r="J65" s="13" t="s">
        <v>103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7.25" customHeight="1">
      <c r="A66" s="6">
        <v>12</v>
      </c>
      <c r="B66" s="18" t="s">
        <v>84</v>
      </c>
      <c r="C66" s="7" t="s">
        <v>398</v>
      </c>
      <c r="D66" s="19" t="s">
        <v>399</v>
      </c>
      <c r="E66" s="21" t="s">
        <v>155</v>
      </c>
      <c r="F66" s="13" t="s">
        <v>103</v>
      </c>
      <c r="G66" s="13" t="s">
        <v>103</v>
      </c>
      <c r="H66" s="13" t="s">
        <v>103</v>
      </c>
      <c r="I66" s="13" t="s">
        <v>103</v>
      </c>
      <c r="J66" s="13" t="s">
        <v>103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7.25" customHeight="1">
      <c r="A67" s="6">
        <v>13</v>
      </c>
      <c r="B67" s="18" t="s">
        <v>348</v>
      </c>
      <c r="C67" s="7" t="s">
        <v>27</v>
      </c>
      <c r="D67" s="19" t="s">
        <v>168</v>
      </c>
      <c r="E67" s="21" t="s">
        <v>155</v>
      </c>
      <c r="F67" s="13" t="s">
        <v>103</v>
      </c>
      <c r="G67" s="13" t="s">
        <v>103</v>
      </c>
      <c r="H67" s="13" t="s">
        <v>103</v>
      </c>
      <c r="I67" s="13" t="s">
        <v>103</v>
      </c>
      <c r="J67" s="13" t="s">
        <v>103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7.25" customHeight="1">
      <c r="A68" s="6">
        <v>14</v>
      </c>
      <c r="B68" s="18" t="s">
        <v>388</v>
      </c>
      <c r="C68" s="7" t="s">
        <v>27</v>
      </c>
      <c r="D68" s="19" t="s">
        <v>389</v>
      </c>
      <c r="E68" s="21" t="s">
        <v>155</v>
      </c>
      <c r="F68" s="13" t="s">
        <v>103</v>
      </c>
      <c r="G68" s="13" t="s">
        <v>103</v>
      </c>
      <c r="H68" s="13" t="s">
        <v>103</v>
      </c>
      <c r="I68" s="13" t="s">
        <v>103</v>
      </c>
      <c r="J68" s="13" t="s">
        <v>103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7.25" customHeight="1">
      <c r="A69" s="6">
        <v>15</v>
      </c>
      <c r="B69" s="18" t="s">
        <v>171</v>
      </c>
      <c r="C69" s="7" t="s">
        <v>27</v>
      </c>
      <c r="D69" s="19" t="s">
        <v>443</v>
      </c>
      <c r="E69" s="21" t="s">
        <v>102</v>
      </c>
      <c r="F69" s="13" t="s">
        <v>103</v>
      </c>
      <c r="G69" s="13" t="s">
        <v>103</v>
      </c>
      <c r="H69" s="13" t="s">
        <v>103</v>
      </c>
      <c r="I69" s="13" t="s">
        <v>103</v>
      </c>
      <c r="J69" s="13" t="s">
        <v>103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7.25" customHeight="1">
      <c r="A70" s="6">
        <v>16</v>
      </c>
      <c r="B70" s="14" t="s">
        <v>194</v>
      </c>
      <c r="C70" s="7" t="s">
        <v>27</v>
      </c>
      <c r="D70" s="19" t="s">
        <v>445</v>
      </c>
      <c r="E70" s="21" t="s">
        <v>155</v>
      </c>
      <c r="F70" s="13" t="s">
        <v>103</v>
      </c>
      <c r="G70" s="13" t="s">
        <v>103</v>
      </c>
      <c r="H70" s="13" t="s">
        <v>103</v>
      </c>
      <c r="I70" s="13" t="s">
        <v>103</v>
      </c>
      <c r="J70" s="13" t="s">
        <v>103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0.5" customHeight="1">
      <c r="A71" s="82"/>
      <c r="B71" s="72"/>
      <c r="C71" s="72"/>
      <c r="D71" s="72"/>
      <c r="E71" s="72"/>
      <c r="F71" s="72"/>
      <c r="G71" s="72"/>
      <c r="H71" s="72"/>
      <c r="I71" s="72"/>
      <c r="J71" s="7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7.25" customHeight="1">
      <c r="A72" s="6"/>
      <c r="B72" s="7"/>
      <c r="C72" s="2"/>
      <c r="D72" s="2"/>
      <c r="E72" s="6"/>
      <c r="F72" s="6"/>
      <c r="G72" s="7"/>
      <c r="H72" s="13"/>
      <c r="I72" s="13"/>
      <c r="J72" s="1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7.25" customHeight="1">
      <c r="A73" s="6"/>
      <c r="B73" s="44" t="s">
        <v>476</v>
      </c>
      <c r="C73" s="44" t="s">
        <v>477</v>
      </c>
      <c r="D73" s="44" t="s">
        <v>478</v>
      </c>
      <c r="E73" s="91" t="s">
        <v>479</v>
      </c>
      <c r="F73" s="92"/>
      <c r="G73" s="91" t="s">
        <v>481</v>
      </c>
      <c r="H73" s="92"/>
      <c r="I73" s="13"/>
      <c r="J73" s="12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 spans="1:28" ht="17.25" customHeight="1">
      <c r="A74" s="6"/>
      <c r="B74" s="93">
        <f>SUM(OVERVIEW!G66:H67)</f>
        <v>0</v>
      </c>
      <c r="C74" s="95">
        <f>5+5+5+5+5+5+5</f>
        <v>35</v>
      </c>
      <c r="D74" s="96">
        <f>SUM(B74:C75)+50</f>
        <v>85</v>
      </c>
      <c r="E74" s="86">
        <f>(SUM(B74:C75)/2000)</f>
        <v>1.7500000000000002E-2</v>
      </c>
      <c r="F74" s="87"/>
      <c r="G74" s="90">
        <f>D74*3-10-10-10-20-20-20-5-10</f>
        <v>150</v>
      </c>
      <c r="H74" s="87"/>
      <c r="I74" s="13"/>
      <c r="J74" s="12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 spans="1:28" ht="17.25" customHeight="1">
      <c r="A75" s="6"/>
      <c r="B75" s="94"/>
      <c r="C75" s="94"/>
      <c r="D75" s="94"/>
      <c r="E75" s="88"/>
      <c r="F75" s="89"/>
      <c r="G75" s="88"/>
      <c r="H75" s="89"/>
      <c r="I75" s="13"/>
      <c r="J75" s="12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 spans="1:28" ht="17.25" customHeight="1">
      <c r="A76" s="6"/>
      <c r="B76" s="7"/>
      <c r="C76" s="2"/>
      <c r="D76" s="7"/>
      <c r="E76" s="6"/>
      <c r="F76" s="6"/>
      <c r="G76" s="7"/>
      <c r="H76" s="13"/>
      <c r="I76" s="13"/>
      <c r="J76" s="12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 spans="1:28" ht="17.25" customHeight="1">
      <c r="A77" s="6"/>
      <c r="B77" s="45" t="s">
        <v>493</v>
      </c>
      <c r="C77" s="45" t="s">
        <v>494</v>
      </c>
      <c r="D77" s="45" t="s">
        <v>496</v>
      </c>
      <c r="E77" s="45" t="s">
        <v>497</v>
      </c>
      <c r="F77" s="45" t="s">
        <v>498</v>
      </c>
      <c r="G77" s="45" t="s">
        <v>499</v>
      </c>
      <c r="H77" s="46" t="s">
        <v>501</v>
      </c>
      <c r="I77" s="13"/>
      <c r="J77" s="12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 spans="1:28" ht="33" customHeight="1">
      <c r="A78" s="6"/>
      <c r="B78" s="47" t="s">
        <v>505</v>
      </c>
      <c r="C78" s="47" t="s">
        <v>507</v>
      </c>
      <c r="D78" s="48" t="s">
        <v>509</v>
      </c>
      <c r="E78" s="47" t="s">
        <v>510</v>
      </c>
      <c r="F78" s="47" t="s">
        <v>511</v>
      </c>
      <c r="G78" s="47" t="s">
        <v>507</v>
      </c>
      <c r="H78" s="47" t="s">
        <v>505</v>
      </c>
      <c r="I78" s="13"/>
      <c r="J78" s="12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 spans="1:28" ht="17.25" customHeight="1">
      <c r="A79" s="6"/>
      <c r="B79" s="7"/>
      <c r="C79" s="2"/>
      <c r="D79" s="7"/>
      <c r="E79" s="9"/>
      <c r="F79" s="9"/>
      <c r="G79" s="9"/>
      <c r="H79" s="13"/>
      <c r="I79" s="13"/>
      <c r="J79" s="12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 spans="1:28" ht="15.75" customHeight="1">
      <c r="A80" s="49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5.75" customHeight="1">
      <c r="A81" s="49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5.75" customHeight="1">
      <c r="A82" s="49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5.75" customHeight="1">
      <c r="A83" s="49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5.75" customHeight="1">
      <c r="A84" s="49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5.75" customHeight="1">
      <c r="A85" s="49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5.75" customHeight="1">
      <c r="A86" s="49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5.75" customHeight="1">
      <c r="A87" s="49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5.75" customHeight="1">
      <c r="A88" s="49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5.75" customHeight="1">
      <c r="A89" s="49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5.75" customHeight="1">
      <c r="A90" s="49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5.75" customHeight="1">
      <c r="A91" s="49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5.75" customHeight="1">
      <c r="A92" s="49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5.75" customHeight="1">
      <c r="A93" s="49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5.75" customHeight="1">
      <c r="A94" s="49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5.75" customHeight="1">
      <c r="A95" s="49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5.75" customHeight="1">
      <c r="A96" s="49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5.75" customHeight="1">
      <c r="A97" s="49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5.75" customHeight="1">
      <c r="A98" s="49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5.75" customHeight="1">
      <c r="A99" s="49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5.75" customHeight="1">
      <c r="A100" s="49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5.75" customHeight="1">
      <c r="A101" s="49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5.75" customHeight="1">
      <c r="A102" s="49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5.75" customHeight="1">
      <c r="A103" s="49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5.75" customHeight="1">
      <c r="A104" s="49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5.75" customHeight="1">
      <c r="A105" s="49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5.75" customHeight="1">
      <c r="A106" s="49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5.75" customHeight="1">
      <c r="A107" s="49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5.75" customHeight="1">
      <c r="A108" s="49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5.75" customHeight="1">
      <c r="A109" s="49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5.75" customHeight="1">
      <c r="A110" s="49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5.75" customHeight="1">
      <c r="A111" s="49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5.75" customHeight="1">
      <c r="A112" s="49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5.75" customHeight="1">
      <c r="A113" s="49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5.75" customHeight="1">
      <c r="A114" s="49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5.75" customHeight="1">
      <c r="A115" s="49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5.75" customHeight="1">
      <c r="A116" s="49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5.75" customHeight="1">
      <c r="A117" s="49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5.75" customHeight="1">
      <c r="A118" s="49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5.75" customHeight="1">
      <c r="A119" s="49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5.75" customHeight="1">
      <c r="A120" s="49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5.75" customHeight="1">
      <c r="A121" s="49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5.75" customHeight="1">
      <c r="A122" s="49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5.75" customHeight="1">
      <c r="A123" s="49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5.75" customHeight="1">
      <c r="A124" s="49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5.75" customHeight="1">
      <c r="A125" s="49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5.75" customHeight="1">
      <c r="A126" s="49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5.75" customHeight="1">
      <c r="A127" s="49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5.75" customHeight="1">
      <c r="A128" s="49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5.75" customHeight="1">
      <c r="A129" s="49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5.75" customHeight="1">
      <c r="A130" s="49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5.75" customHeight="1">
      <c r="A131" s="49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5.75" customHeight="1">
      <c r="A132" s="49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5.75" customHeight="1">
      <c r="A133" s="49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5.75" customHeight="1">
      <c r="A134" s="49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5.75" customHeight="1">
      <c r="A135" s="49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5.75" customHeight="1">
      <c r="A136" s="49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5.75" customHeight="1">
      <c r="A137" s="49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5.75" customHeight="1">
      <c r="A138" s="49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5.75" customHeight="1">
      <c r="A139" s="49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5.75" customHeight="1">
      <c r="A140" s="49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5.75" customHeight="1">
      <c r="A141" s="49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5.75" customHeight="1">
      <c r="A142" s="49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5.75" customHeight="1">
      <c r="A143" s="49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5.75" customHeight="1">
      <c r="A144" s="49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5.75" customHeight="1">
      <c r="A145" s="49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5.75" customHeight="1">
      <c r="A146" s="49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5.75" customHeight="1">
      <c r="A147" s="49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5.75" customHeight="1">
      <c r="A148" s="49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5.75" customHeight="1">
      <c r="A149" s="49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5.75" customHeight="1">
      <c r="A150" s="49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5.75" customHeight="1">
      <c r="A151" s="49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5.75" customHeight="1">
      <c r="A152" s="49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5.75" customHeight="1">
      <c r="A153" s="49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5.75" customHeight="1">
      <c r="A154" s="49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5.75" customHeight="1">
      <c r="A155" s="49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5.75" customHeight="1">
      <c r="A156" s="49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5.75" customHeight="1">
      <c r="A157" s="49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5.75" customHeight="1">
      <c r="A158" s="49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5.75" customHeight="1">
      <c r="A159" s="49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5.75" customHeight="1">
      <c r="A160" s="49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5.75" customHeight="1">
      <c r="A161" s="49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5.75" customHeight="1">
      <c r="A162" s="49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5.75" customHeight="1">
      <c r="A163" s="49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5.75" customHeight="1">
      <c r="A164" s="49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5.75" customHeight="1">
      <c r="A165" s="49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5.75" customHeight="1">
      <c r="A166" s="49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5.75" customHeight="1">
      <c r="A167" s="49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5.75" customHeight="1">
      <c r="A168" s="49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5.75" customHeight="1">
      <c r="A169" s="49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5.75" customHeight="1">
      <c r="A170" s="49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5.75" customHeight="1">
      <c r="A171" s="49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5.75" customHeight="1">
      <c r="A172" s="49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5.75" customHeight="1">
      <c r="A173" s="49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5.75" customHeight="1">
      <c r="A174" s="49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5.75" customHeight="1">
      <c r="A175" s="49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5.75" customHeight="1">
      <c r="A176" s="49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5.75" customHeight="1">
      <c r="A177" s="49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5.75" customHeight="1">
      <c r="A178" s="49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5.75" customHeight="1">
      <c r="A179" s="49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5.75" customHeight="1">
      <c r="A180" s="49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5.75" customHeight="1">
      <c r="A181" s="49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5.75" customHeight="1">
      <c r="A182" s="49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5.75" customHeight="1">
      <c r="A183" s="49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5.75" customHeight="1">
      <c r="A184" s="49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5.75" customHeight="1">
      <c r="A185" s="49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5.75" customHeight="1">
      <c r="A186" s="49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5.75" customHeight="1">
      <c r="A187" s="49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5.75" customHeight="1">
      <c r="A188" s="49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5.75" customHeight="1">
      <c r="A189" s="49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5.75" customHeight="1">
      <c r="A190" s="49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5.75" customHeight="1">
      <c r="A191" s="49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5.75" customHeight="1">
      <c r="A192" s="49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5.75" customHeight="1">
      <c r="A193" s="49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5.75" customHeight="1">
      <c r="A194" s="49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5.75" customHeight="1">
      <c r="A195" s="49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5.75" customHeight="1">
      <c r="A196" s="49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5.75" customHeight="1">
      <c r="A197" s="49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5.75" customHeight="1">
      <c r="A198" s="49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5.75" customHeight="1">
      <c r="A199" s="49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5.75" customHeight="1">
      <c r="A200" s="49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5.75" customHeight="1">
      <c r="A201" s="49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5.75" customHeight="1">
      <c r="A202" s="49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5.75" customHeight="1">
      <c r="A203" s="49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5.75" customHeight="1">
      <c r="A204" s="49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5.75" customHeight="1">
      <c r="A205" s="49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5.75" customHeight="1">
      <c r="A206" s="49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5.75" customHeight="1">
      <c r="A207" s="49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5.75" customHeight="1">
      <c r="A208" s="49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5.75" customHeight="1">
      <c r="A209" s="49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5.75" customHeight="1">
      <c r="A210" s="49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5.75" customHeight="1">
      <c r="A211" s="49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5.75" customHeight="1">
      <c r="A212" s="49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5.75" customHeight="1">
      <c r="A213" s="49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5.75" customHeight="1">
      <c r="A214" s="49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5.75" customHeight="1">
      <c r="A215" s="49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5.75" customHeight="1">
      <c r="A216" s="49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5.75" customHeight="1">
      <c r="A217" s="49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5.75" customHeight="1">
      <c r="A218" s="49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5.75" customHeight="1">
      <c r="A219" s="49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5.75" customHeight="1">
      <c r="A220" s="49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5.75" customHeight="1">
      <c r="A221" s="49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5.75" customHeight="1">
      <c r="A222" s="49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5.75" customHeight="1">
      <c r="A223" s="49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5.75" customHeight="1">
      <c r="A224" s="49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5.75" customHeight="1">
      <c r="A225" s="49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5.75" customHeight="1">
      <c r="A226" s="49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5.75" customHeight="1">
      <c r="A227" s="49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5.75" customHeight="1">
      <c r="A228" s="49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5.75" customHeight="1">
      <c r="A229" s="49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5.75" customHeight="1">
      <c r="A230" s="49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5.75" customHeight="1">
      <c r="A231" s="49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5.75" customHeight="1">
      <c r="A232" s="49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5.75" customHeight="1">
      <c r="A233" s="49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5.75" customHeight="1">
      <c r="A234" s="49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5.75" customHeight="1">
      <c r="A235" s="49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5.75" customHeight="1">
      <c r="A236" s="49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5.75" customHeight="1">
      <c r="A237" s="49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5.75" customHeight="1">
      <c r="A238" s="49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5.75" customHeight="1">
      <c r="A239" s="49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5.75" customHeight="1">
      <c r="A240" s="49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5.75" customHeight="1">
      <c r="A241" s="49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5.75" customHeight="1">
      <c r="A242" s="49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5.75" customHeight="1">
      <c r="A243" s="49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5.75" customHeight="1">
      <c r="A244" s="49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5.75" customHeight="1">
      <c r="A245" s="49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5.75" customHeight="1">
      <c r="A246" s="49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5.75" customHeight="1">
      <c r="A247" s="49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5.75" customHeight="1">
      <c r="A248" s="49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5.75" customHeight="1">
      <c r="A249" s="49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5.75" customHeight="1">
      <c r="A250" s="49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5.75" customHeight="1">
      <c r="A251" s="49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5.75" customHeight="1">
      <c r="A252" s="49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5.75" customHeight="1">
      <c r="A253" s="49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5.75" customHeight="1">
      <c r="A254" s="49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5.75" customHeight="1">
      <c r="A255" s="49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5.75" customHeight="1">
      <c r="A256" s="49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5.75" customHeight="1">
      <c r="A257" s="49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5.75" customHeight="1">
      <c r="A258" s="49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5.75" customHeight="1">
      <c r="A259" s="49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5.75" customHeight="1">
      <c r="A260" s="49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5.75" customHeight="1">
      <c r="A261" s="49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5.75" customHeight="1">
      <c r="A262" s="49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5.75" customHeight="1">
      <c r="A263" s="49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5.75" customHeight="1">
      <c r="A264" s="49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5.75" customHeight="1">
      <c r="A265" s="49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5.75" customHeight="1">
      <c r="A266" s="49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5.75" customHeight="1">
      <c r="A267" s="49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5.75" customHeight="1">
      <c r="A268" s="49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5.75" customHeight="1">
      <c r="A269" s="49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5.75" customHeight="1">
      <c r="A270" s="49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5.75" customHeight="1">
      <c r="A271" s="49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5.75" customHeight="1">
      <c r="A272" s="49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5.75" customHeight="1">
      <c r="A273" s="49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5.75" customHeight="1">
      <c r="A274" s="49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5.75" customHeight="1">
      <c r="A275" s="49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5.75" customHeight="1">
      <c r="A276" s="49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5.75" customHeight="1">
      <c r="A277" s="49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5.75" customHeight="1">
      <c r="A278" s="49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5.75" customHeight="1"/>
    <row r="280" spans="1:28" ht="15.75" customHeight="1"/>
    <row r="281" spans="1:28" ht="15.75" customHeight="1"/>
    <row r="282" spans="1:28" ht="15.75" customHeight="1"/>
    <row r="283" spans="1:28" ht="15.75" customHeight="1"/>
    <row r="284" spans="1:28" ht="15.75" customHeight="1"/>
    <row r="285" spans="1:28" ht="15.75" customHeight="1"/>
    <row r="286" spans="1:28" ht="15.75" customHeight="1"/>
    <row r="287" spans="1:28" ht="15.75" customHeight="1"/>
    <row r="288" spans="1:2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26:J26"/>
    <mergeCell ref="A36:J36"/>
    <mergeCell ref="E74:F75"/>
    <mergeCell ref="G74:H75"/>
    <mergeCell ref="A54:J54"/>
    <mergeCell ref="A71:J71"/>
    <mergeCell ref="E73:F73"/>
    <mergeCell ref="G73:H73"/>
    <mergeCell ref="B74:B75"/>
    <mergeCell ref="C74:C75"/>
    <mergeCell ref="D74:D75"/>
    <mergeCell ref="A1:D1"/>
    <mergeCell ref="F1:J1"/>
    <mergeCell ref="A3:J3"/>
    <mergeCell ref="A14:J14"/>
    <mergeCell ref="A21:J21"/>
  </mergeCells>
  <dataValidations count="5">
    <dataValidation type="list" allowBlank="1" showErrorMessage="1" sqref="F4:I13 F15:I20 F22:I25 F27:I35 F37:I53 F55:I70" xr:uid="{00000000-0002-0000-0200-000000000000}">
      <formula1>"PENDING,DONE,REJECTED,IN PROCESS"</formula1>
    </dataValidation>
    <dataValidation type="list" allowBlank="1" showErrorMessage="1" sqref="E4 E6:E13 E15:E20 E23:E25 E27:E35 E37:E53 E55:E70" xr:uid="{00000000-0002-0000-0200-000001000000}">
      <formula1>"5 contacts,10 contacts,15 contacts,20 contacts"</formula1>
    </dataValidation>
    <dataValidation type="list" allowBlank="1" showErrorMessage="1" sqref="J4:J13 J15:J20 J22:J25 J27:J35 J37:J53 J55:J70" xr:uid="{00000000-0002-0000-0200-000002000000}">
      <formula1>"PENDING,DONE,REJECTED,IN PROCESS,FIRST"</formula1>
    </dataValidation>
    <dataValidation type="list" allowBlank="1" showErrorMessage="1" sqref="E22" xr:uid="{00000000-0002-0000-0200-000003000000}">
      <formula1>"5 contacts,13 contacts,15 contacts,20 contacts"</formula1>
    </dataValidation>
    <dataValidation type="list" allowBlank="1" showErrorMessage="1" sqref="E5" xr:uid="{00000000-0002-0000-0200-000004000000}">
      <formula1>"5 contacts,19 contacts,15 contacts,20 contacts"</formula1>
    </dataValidation>
  </dataValidations>
  <hyperlinks>
    <hyperlink ref="B4" location="null!A1" display="Deutsche Bank" xr:uid="{00000000-0004-0000-0200-000000000000}"/>
    <hyperlink ref="D4" r:id="rId1" xr:uid="{00000000-0004-0000-0200-000001000000}"/>
    <hyperlink ref="B5" location="null!A1" display="PJT Partners" xr:uid="{00000000-0004-0000-0200-000002000000}"/>
    <hyperlink ref="D5" r:id="rId2" xr:uid="{00000000-0004-0000-0200-000003000000}"/>
    <hyperlink ref="B6" location="null!A1" display="Centerview Partners" xr:uid="{00000000-0004-0000-0200-000004000000}"/>
    <hyperlink ref="D6" r:id="rId3" xr:uid="{00000000-0004-0000-0200-000005000000}"/>
    <hyperlink ref="B7" location="null!A1" display="Greenhill &amp; Co." xr:uid="{00000000-0004-0000-0200-000006000000}"/>
    <hyperlink ref="D7" r:id="rId4" xr:uid="{00000000-0004-0000-0200-000007000000}"/>
    <hyperlink ref="B8" location="null!A1" display="Blackstone" xr:uid="{00000000-0004-0000-0200-000008000000}"/>
    <hyperlink ref="D8" r:id="rId5" xr:uid="{00000000-0004-0000-0200-000009000000}"/>
    <hyperlink ref="B9" location="null!A1" display="Ares Management" xr:uid="{00000000-0004-0000-0200-00000A000000}"/>
    <hyperlink ref="D9" r:id="rId6" xr:uid="{00000000-0004-0000-0200-00000B000000}"/>
    <hyperlink ref="B10" location="null!A1" display="Jefferies" xr:uid="{00000000-0004-0000-0200-00000C000000}"/>
    <hyperlink ref="D10" r:id="rId7" location="en/sites/CX_1" xr:uid="{00000000-0004-0000-0200-00000D000000}"/>
    <hyperlink ref="B11" location="null!A1" display="RBC Capital Markets" xr:uid="{00000000-0004-0000-0200-00000E000000}"/>
    <hyperlink ref="D11" r:id="rId8" xr:uid="{00000000-0004-0000-0200-00000F000000}"/>
    <hyperlink ref="B12" location="null!A1" display="Houlihan Lokey" xr:uid="{00000000-0004-0000-0200-000010000000}"/>
    <hyperlink ref="D12" r:id="rId9" xr:uid="{00000000-0004-0000-0200-000011000000}"/>
    <hyperlink ref="B13" location="null!A1" display="Rothschild &amp; Co" xr:uid="{00000000-0004-0000-0200-000012000000}"/>
    <hyperlink ref="D13" r:id="rId10" xr:uid="{00000000-0004-0000-0200-000013000000}"/>
    <hyperlink ref="B15" location="JPM!A1" display="JP Morgan" xr:uid="{00000000-0004-0000-0200-000014000000}"/>
    <hyperlink ref="D15" r:id="rId11" xr:uid="{00000000-0004-0000-0200-000015000000}"/>
    <hyperlink ref="B16" location="null!A1" display="Bank of America" xr:uid="{00000000-0004-0000-0200-000016000000}"/>
    <hyperlink ref="D16" r:id="rId12" xr:uid="{00000000-0004-0000-0200-000017000000}"/>
    <hyperlink ref="B17" location="GS!A1" display="Goldman Sachs" xr:uid="{00000000-0004-0000-0200-000018000000}"/>
    <hyperlink ref="D17" r:id="rId13" xr:uid="{00000000-0004-0000-0200-000019000000}"/>
    <hyperlink ref="B18" location="null!A1" display="Citi" xr:uid="{00000000-0004-0000-0200-00001A000000}"/>
    <hyperlink ref="D18" r:id="rId14" xr:uid="{00000000-0004-0000-0200-00001B000000}"/>
    <hyperlink ref="B19" location="null!A1" display="Lazard" xr:uid="{00000000-0004-0000-0200-00001C000000}"/>
    <hyperlink ref="D19" r:id="rId15" xr:uid="{00000000-0004-0000-0200-00001D000000}"/>
    <hyperlink ref="B20" location="null!A1" display="Evercore" xr:uid="{00000000-0004-0000-0200-00001E000000}"/>
    <hyperlink ref="D20" r:id="rId16" xr:uid="{00000000-0004-0000-0200-00001F000000}"/>
    <hyperlink ref="B22" location="JPM!A1" display="JP Morgan" xr:uid="{00000000-0004-0000-0200-000020000000}"/>
    <hyperlink ref="D22" r:id="rId17" xr:uid="{00000000-0004-0000-0200-000021000000}"/>
    <hyperlink ref="B23" location="null!A1" display="Bank of America" xr:uid="{00000000-0004-0000-0200-000022000000}"/>
    <hyperlink ref="D23" r:id="rId18" xr:uid="{00000000-0004-0000-0200-000023000000}"/>
    <hyperlink ref="B24" location="GS!A1" display="Goldman Sachs" xr:uid="{00000000-0004-0000-0200-000024000000}"/>
    <hyperlink ref="D24" r:id="rId19" xr:uid="{00000000-0004-0000-0200-000025000000}"/>
    <hyperlink ref="B25" location="null!A1" display="Moelis &amp; Company" xr:uid="{00000000-0004-0000-0200-000026000000}"/>
    <hyperlink ref="D25" r:id="rId20" xr:uid="{00000000-0004-0000-0200-000027000000}"/>
    <hyperlink ref="B27" location="JPM!A1" display="JP Morgan" xr:uid="{00000000-0004-0000-0200-000028000000}"/>
    <hyperlink ref="D27" r:id="rId21" xr:uid="{00000000-0004-0000-0200-000029000000}"/>
    <hyperlink ref="B28" location="null!A1" display="Bank of America" xr:uid="{00000000-0004-0000-0200-00002A000000}"/>
    <hyperlink ref="D28" r:id="rId22" xr:uid="{00000000-0004-0000-0200-00002B000000}"/>
    <hyperlink ref="B29" location="GS!A1" display="Goldman Sachs" xr:uid="{00000000-0004-0000-0200-00002C000000}"/>
    <hyperlink ref="D29" r:id="rId23" xr:uid="{00000000-0004-0000-0200-00002D000000}"/>
    <hyperlink ref="B30" location="null!A1" display="UBS" xr:uid="{00000000-0004-0000-0200-00002E000000}"/>
    <hyperlink ref="D30" r:id="rId24" location="jobDetails=287598_5029" xr:uid="{00000000-0004-0000-0200-00002F000000}"/>
    <hyperlink ref="B31" location="null!A1" display="Deutsche Bank" xr:uid="{00000000-0004-0000-0200-000030000000}"/>
    <hyperlink ref="D31" r:id="rId25" xr:uid="{00000000-0004-0000-0200-000031000000}"/>
    <hyperlink ref="B32" location="null!A1" display="Lazard" xr:uid="{00000000-0004-0000-0200-000032000000}"/>
    <hyperlink ref="D32" r:id="rId26" xr:uid="{00000000-0004-0000-0200-000033000000}"/>
    <hyperlink ref="B33" location="null!A1" display="Evercore" xr:uid="{00000000-0004-0000-0200-000034000000}"/>
    <hyperlink ref="D33" r:id="rId27" xr:uid="{00000000-0004-0000-0200-000035000000}"/>
    <hyperlink ref="B34" location="null!A1" display="Moelis &amp; Company" xr:uid="{00000000-0004-0000-0200-000036000000}"/>
    <hyperlink ref="D34" r:id="rId28" xr:uid="{00000000-0004-0000-0200-000037000000}"/>
    <hyperlink ref="B35" location="null!A1" display="PJT Partners" xr:uid="{00000000-0004-0000-0200-000038000000}"/>
    <hyperlink ref="D35" r:id="rId29" xr:uid="{00000000-0004-0000-0200-000039000000}"/>
    <hyperlink ref="B37" location="JPM!A1" display="JP Morgan" xr:uid="{00000000-0004-0000-0200-00003A000000}"/>
    <hyperlink ref="D37" r:id="rId30" xr:uid="{00000000-0004-0000-0200-00003B000000}"/>
    <hyperlink ref="B38" location="null!A1" display="RBC Capital Markets" xr:uid="{00000000-0004-0000-0200-00003C000000}"/>
    <hyperlink ref="D38" r:id="rId31" xr:uid="{00000000-0004-0000-0200-00003D000000}"/>
    <hyperlink ref="B39" location="null!A1" display="UBS" xr:uid="{00000000-0004-0000-0200-00003E000000}"/>
    <hyperlink ref="D39" r:id="rId32" location="jobDetails=287598_5029" xr:uid="{00000000-0004-0000-0200-00003F000000}"/>
    <hyperlink ref="B40" location="null!A1" display="Houlihan Lokey" xr:uid="{00000000-0004-0000-0200-000040000000}"/>
    <hyperlink ref="D40" r:id="rId33" xr:uid="{00000000-0004-0000-0200-000041000000}"/>
    <hyperlink ref="B41" location="null!A1" display="Deutsche Bank" xr:uid="{00000000-0004-0000-0200-000042000000}"/>
    <hyperlink ref="D41" r:id="rId34" xr:uid="{00000000-0004-0000-0200-000043000000}"/>
    <hyperlink ref="B42" location="null!A1" display="Perella Weinberg Partners" xr:uid="{00000000-0004-0000-0200-000044000000}"/>
    <hyperlink ref="D42" r:id="rId35" xr:uid="{00000000-0004-0000-0200-000045000000}"/>
    <hyperlink ref="B43" location="null!A1" display="Moelis &amp; Company" xr:uid="{00000000-0004-0000-0200-000046000000}"/>
    <hyperlink ref="D43" r:id="rId36" xr:uid="{00000000-0004-0000-0200-000047000000}"/>
    <hyperlink ref="B44" location="null!A1" display="Lazard" xr:uid="{00000000-0004-0000-0200-000048000000}"/>
    <hyperlink ref="D44" r:id="rId37" xr:uid="{00000000-0004-0000-0200-000049000000}"/>
    <hyperlink ref="B45" location="null!A1" display="William Blair" xr:uid="{00000000-0004-0000-0200-00004A000000}"/>
    <hyperlink ref="D45" r:id="rId38" xr:uid="{00000000-0004-0000-0200-00004B000000}"/>
    <hyperlink ref="B46" location="null!A1" display="Rothschild &amp; Co" xr:uid="{00000000-0004-0000-0200-00004C000000}"/>
    <hyperlink ref="D46" r:id="rId39" xr:uid="{00000000-0004-0000-0200-00004D000000}"/>
    <hyperlink ref="B47" location="null!A1" display="Guggenheim Securities" xr:uid="{00000000-0004-0000-0200-00004E000000}"/>
    <hyperlink ref="D47" r:id="rId40" xr:uid="{00000000-0004-0000-0200-00004F000000}"/>
    <hyperlink ref="B48" location="null!A1" display="The Raine Group" xr:uid="{00000000-0004-0000-0200-000050000000}"/>
    <hyperlink ref="D48" r:id="rId41" xr:uid="{00000000-0004-0000-0200-000051000000}"/>
    <hyperlink ref="B49" location="null!A1" display="Leerink Partners" xr:uid="{00000000-0004-0000-0200-000052000000}"/>
    <hyperlink ref="D49" r:id="rId42" xr:uid="{00000000-0004-0000-0200-000053000000}"/>
    <hyperlink ref="B50" location="null!A1" display="Wells Fargo" xr:uid="{00000000-0004-0000-0200-000054000000}"/>
    <hyperlink ref="D50" r:id="rId43" xr:uid="{00000000-0004-0000-0200-000055000000}"/>
    <hyperlink ref="B51" location="null!A1" display="Ducera Partners" xr:uid="{00000000-0004-0000-0200-000056000000}"/>
    <hyperlink ref="D51" r:id="rId44" xr:uid="{00000000-0004-0000-0200-000057000000}"/>
    <hyperlink ref="B52" location="null!A1" display="Bank of America" xr:uid="{00000000-0004-0000-0200-000058000000}"/>
    <hyperlink ref="D52" r:id="rId45" xr:uid="{00000000-0004-0000-0200-000059000000}"/>
    <hyperlink ref="B53" location="null!A1" display="Evercore" xr:uid="{00000000-0004-0000-0200-00005A000000}"/>
    <hyperlink ref="D53" r:id="rId46" xr:uid="{00000000-0004-0000-0200-00005B000000}"/>
    <hyperlink ref="B55" location="JPM!A1" display="JP Morgan" xr:uid="{00000000-0004-0000-0200-00005C000000}"/>
    <hyperlink ref="D55" r:id="rId47" xr:uid="{00000000-0004-0000-0200-00005D000000}"/>
    <hyperlink ref="B56" location="null!A1" display="RBC Capital Markets" xr:uid="{00000000-0004-0000-0200-00005E000000}"/>
    <hyperlink ref="D56" r:id="rId48" xr:uid="{00000000-0004-0000-0200-00005F000000}"/>
    <hyperlink ref="B57" location="null!A1" display="UBS" xr:uid="{00000000-0004-0000-0200-000060000000}"/>
    <hyperlink ref="D57" r:id="rId49" location="jobDetails=287598_5029" xr:uid="{00000000-0004-0000-0200-000061000000}"/>
    <hyperlink ref="B58" location="null!A1" display="Houlihan Lokey" xr:uid="{00000000-0004-0000-0200-000062000000}"/>
    <hyperlink ref="D58" r:id="rId50" xr:uid="{00000000-0004-0000-0200-000063000000}"/>
    <hyperlink ref="B59" location="null!A1" display="Deutsche Bank" xr:uid="{00000000-0004-0000-0200-000064000000}"/>
    <hyperlink ref="D59" r:id="rId51" xr:uid="{00000000-0004-0000-0200-000065000000}"/>
    <hyperlink ref="B60" location="null!A1" display="Perella Weinberg Partners" xr:uid="{00000000-0004-0000-0200-000066000000}"/>
    <hyperlink ref="D60" r:id="rId52" xr:uid="{00000000-0004-0000-0200-000067000000}"/>
    <hyperlink ref="B61" location="null!A1" display="Moelis &amp; Company" xr:uid="{00000000-0004-0000-0200-000068000000}"/>
    <hyperlink ref="D61" r:id="rId53" xr:uid="{00000000-0004-0000-0200-000069000000}"/>
    <hyperlink ref="B62" location="null!A1" display="Lazard" xr:uid="{00000000-0004-0000-0200-00006A000000}"/>
    <hyperlink ref="D62" r:id="rId54" xr:uid="{00000000-0004-0000-0200-00006B000000}"/>
    <hyperlink ref="B63" location="null!A1" display="William Blair" xr:uid="{00000000-0004-0000-0200-00006C000000}"/>
    <hyperlink ref="D63" r:id="rId55" xr:uid="{00000000-0004-0000-0200-00006D000000}"/>
    <hyperlink ref="B64" location="null!A1" display="Rothschild &amp; Co" xr:uid="{00000000-0004-0000-0200-00006E000000}"/>
    <hyperlink ref="D64" r:id="rId56" xr:uid="{00000000-0004-0000-0200-00006F000000}"/>
    <hyperlink ref="B65" location="null!A1" display="Guggenheim Securities" xr:uid="{00000000-0004-0000-0200-000070000000}"/>
    <hyperlink ref="D65" r:id="rId57" xr:uid="{00000000-0004-0000-0200-000071000000}"/>
    <hyperlink ref="B66" location="null!A1" display="The Raine Group" xr:uid="{00000000-0004-0000-0200-000072000000}"/>
    <hyperlink ref="D66" r:id="rId58" xr:uid="{00000000-0004-0000-0200-000073000000}"/>
    <hyperlink ref="B67" location="null!A1" display="Union Square Advisors" xr:uid="{00000000-0004-0000-0200-000074000000}"/>
    <hyperlink ref="D67" r:id="rId59" xr:uid="{00000000-0004-0000-0200-000075000000}"/>
    <hyperlink ref="B68" location="null!A1" display="Leerink Partners" xr:uid="{00000000-0004-0000-0200-000076000000}"/>
    <hyperlink ref="D68" r:id="rId60" xr:uid="{00000000-0004-0000-0200-000077000000}"/>
    <hyperlink ref="B69" location="null!A1" display="Wells Fargo" xr:uid="{00000000-0004-0000-0200-000078000000}"/>
    <hyperlink ref="D69" r:id="rId61" xr:uid="{00000000-0004-0000-0200-000079000000}"/>
    <hyperlink ref="D70" r:id="rId62" xr:uid="{00000000-0004-0000-0200-00007A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X1000"/>
  <sheetViews>
    <sheetView workbookViewId="0">
      <pane ySplit="2" topLeftCell="A3" activePane="bottomLeft" state="frozen"/>
      <selection pane="bottomLeft" activeCell="D20" sqref="D20"/>
    </sheetView>
  </sheetViews>
  <sheetFormatPr defaultColWidth="12.6328125" defaultRowHeight="15" customHeight="1"/>
  <cols>
    <col min="1" max="7" width="21.90625" customWidth="1"/>
    <col min="8" max="8" width="21.453125" customWidth="1"/>
  </cols>
  <sheetData>
    <row r="1" spans="1:24" ht="18.75" customHeight="1">
      <c r="A1" s="71" t="s">
        <v>2</v>
      </c>
      <c r="B1" s="72"/>
      <c r="C1" s="72"/>
      <c r="D1" s="73" t="s">
        <v>4</v>
      </c>
      <c r="E1" s="72"/>
      <c r="F1" s="72"/>
      <c r="G1" s="72"/>
      <c r="H1" s="7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33.75" customHeight="1">
      <c r="A2" s="5" t="s">
        <v>8</v>
      </c>
      <c r="B2" s="5" t="s">
        <v>10</v>
      </c>
      <c r="C2" s="5" t="s">
        <v>12</v>
      </c>
      <c r="D2" s="5" t="s">
        <v>14</v>
      </c>
      <c r="E2" s="5" t="s">
        <v>16</v>
      </c>
      <c r="F2" s="5" t="s">
        <v>18</v>
      </c>
      <c r="G2" s="5" t="s">
        <v>20</v>
      </c>
      <c r="H2" s="5" t="s">
        <v>22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7.25" customHeight="1">
      <c r="A3" s="8" t="s">
        <v>26</v>
      </c>
      <c r="B3" s="9" t="s">
        <v>31</v>
      </c>
      <c r="C3" s="9" t="s">
        <v>32</v>
      </c>
      <c r="D3" s="8" t="s">
        <v>33</v>
      </c>
      <c r="E3" s="10" t="s">
        <v>34</v>
      </c>
      <c r="F3" s="10" t="s">
        <v>35</v>
      </c>
      <c r="G3" s="10" t="s">
        <v>36</v>
      </c>
      <c r="H3" s="9" t="s">
        <v>37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7.25" customHeight="1">
      <c r="A4" s="8" t="s">
        <v>42</v>
      </c>
      <c r="B4" s="9" t="s">
        <v>44</v>
      </c>
      <c r="C4" s="9" t="s">
        <v>45</v>
      </c>
      <c r="D4" s="8" t="s">
        <v>47</v>
      </c>
      <c r="E4" s="10" t="s">
        <v>48</v>
      </c>
      <c r="F4" s="10" t="s">
        <v>52</v>
      </c>
      <c r="G4" s="10" t="s">
        <v>54</v>
      </c>
      <c r="H4" s="9" t="s">
        <v>56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ht="17.25" customHeight="1">
      <c r="A5" s="8" t="s">
        <v>25</v>
      </c>
      <c r="B5" s="9" t="s">
        <v>69</v>
      </c>
      <c r="C5" s="9" t="s">
        <v>70</v>
      </c>
      <c r="D5" s="8" t="s">
        <v>71</v>
      </c>
      <c r="E5" s="10" t="s">
        <v>72</v>
      </c>
      <c r="F5" s="10" t="s">
        <v>74</v>
      </c>
      <c r="G5" s="10" t="s">
        <v>76</v>
      </c>
      <c r="H5" s="9" t="s">
        <v>78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24" ht="17.25" customHeight="1">
      <c r="A6" s="8" t="s">
        <v>81</v>
      </c>
      <c r="B6" s="9" t="s">
        <v>82</v>
      </c>
      <c r="C6" s="9" t="s">
        <v>84</v>
      </c>
      <c r="D6" s="8" t="s">
        <v>86</v>
      </c>
      <c r="E6" s="10" t="s">
        <v>87</v>
      </c>
      <c r="F6" s="10" t="s">
        <v>88</v>
      </c>
      <c r="G6" s="10" t="s">
        <v>89</v>
      </c>
      <c r="H6" s="9" t="s">
        <v>90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 ht="17.25" customHeight="1">
      <c r="A7" s="8" t="s">
        <v>93</v>
      </c>
      <c r="B7" s="9" t="s">
        <v>95</v>
      </c>
      <c r="C7" s="9" t="s">
        <v>96</v>
      </c>
      <c r="D7" s="8" t="s">
        <v>97</v>
      </c>
      <c r="E7" s="10" t="s">
        <v>98</v>
      </c>
      <c r="F7" s="10" t="s">
        <v>99</v>
      </c>
      <c r="G7" s="10" t="s">
        <v>100</v>
      </c>
      <c r="H7" s="9" t="s">
        <v>101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 ht="17.25" customHeight="1">
      <c r="A8" s="8" t="s">
        <v>108</v>
      </c>
      <c r="B8" s="9" t="s">
        <v>109</v>
      </c>
      <c r="C8" s="9" t="s">
        <v>110</v>
      </c>
      <c r="D8" s="8" t="s">
        <v>111</v>
      </c>
      <c r="E8" s="10" t="s">
        <v>112</v>
      </c>
      <c r="F8" s="10" t="s">
        <v>113</v>
      </c>
      <c r="G8" s="10" t="s">
        <v>114</v>
      </c>
      <c r="H8" s="9" t="s">
        <v>115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 ht="17.25" customHeight="1">
      <c r="A9" s="8" t="s">
        <v>117</v>
      </c>
      <c r="B9" s="8" t="s">
        <v>128</v>
      </c>
      <c r="C9" s="9" t="s">
        <v>129</v>
      </c>
      <c r="D9" s="8" t="s">
        <v>130</v>
      </c>
      <c r="E9" s="10" t="s">
        <v>131</v>
      </c>
      <c r="F9" s="10" t="s">
        <v>132</v>
      </c>
      <c r="G9" s="10" t="s">
        <v>133</v>
      </c>
      <c r="H9" s="9" t="s">
        <v>134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 ht="17.25" customHeight="1">
      <c r="A10" s="8" t="s">
        <v>79</v>
      </c>
      <c r="B10" s="8" t="s">
        <v>140</v>
      </c>
      <c r="C10" s="9" t="s">
        <v>143</v>
      </c>
      <c r="D10" s="8" t="s">
        <v>146</v>
      </c>
      <c r="E10" s="10" t="s">
        <v>147</v>
      </c>
      <c r="F10" s="10" t="s">
        <v>148</v>
      </c>
      <c r="G10" s="9" t="s">
        <v>149</v>
      </c>
      <c r="H10" s="9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 ht="17.25" customHeight="1">
      <c r="A11" s="8" t="s">
        <v>152</v>
      </c>
      <c r="B11" s="9" t="s">
        <v>153</v>
      </c>
      <c r="C11" s="9" t="s">
        <v>154</v>
      </c>
      <c r="D11" s="8" t="s">
        <v>156</v>
      </c>
      <c r="E11" s="10" t="s">
        <v>157</v>
      </c>
      <c r="F11" s="10" t="s">
        <v>158</v>
      </c>
      <c r="G11" s="9" t="s">
        <v>159</v>
      </c>
      <c r="H11" s="9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 ht="17.25" customHeight="1">
      <c r="A12" s="24"/>
      <c r="B12" s="9" t="s">
        <v>161</v>
      </c>
      <c r="C12" s="9" t="s">
        <v>162</v>
      </c>
      <c r="D12" s="8" t="s">
        <v>163</v>
      </c>
      <c r="E12" s="10" t="s">
        <v>164</v>
      </c>
      <c r="F12" s="10" t="s">
        <v>165</v>
      </c>
      <c r="G12" s="9" t="s">
        <v>166</v>
      </c>
      <c r="H12" s="9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4" ht="17.25" customHeight="1">
      <c r="A13" s="24"/>
      <c r="B13" s="9" t="s">
        <v>170</v>
      </c>
      <c r="C13" s="9" t="s">
        <v>171</v>
      </c>
      <c r="D13" s="8" t="s">
        <v>172</v>
      </c>
      <c r="E13" s="10" t="s">
        <v>173</v>
      </c>
      <c r="F13" s="10" t="s">
        <v>174</v>
      </c>
      <c r="G13" s="9" t="s">
        <v>175</v>
      </c>
      <c r="H13" s="9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4" ht="17.25" customHeight="1">
      <c r="A14" s="24"/>
      <c r="B14" s="9" t="s">
        <v>178</v>
      </c>
      <c r="C14" s="9" t="s">
        <v>179</v>
      </c>
      <c r="D14" s="8" t="s">
        <v>180</v>
      </c>
      <c r="E14" s="10" t="s">
        <v>181</v>
      </c>
      <c r="F14" s="10" t="s">
        <v>182</v>
      </c>
      <c r="G14" s="9"/>
      <c r="H14" s="9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 ht="17.25" customHeight="1">
      <c r="A15" s="24"/>
      <c r="B15" s="9" t="s">
        <v>184</v>
      </c>
      <c r="C15" s="9" t="s">
        <v>185</v>
      </c>
      <c r="D15" s="8" t="s">
        <v>186</v>
      </c>
      <c r="E15" s="10" t="s">
        <v>187</v>
      </c>
      <c r="F15" s="9"/>
      <c r="G15" s="9"/>
      <c r="H15" s="9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 ht="17.25" customHeight="1">
      <c r="A16" s="24"/>
      <c r="B16" s="9" t="s">
        <v>189</v>
      </c>
      <c r="C16" s="9" t="s">
        <v>190</v>
      </c>
      <c r="D16" s="8" t="s">
        <v>191</v>
      </c>
      <c r="E16" s="9"/>
      <c r="F16" s="9"/>
      <c r="G16" s="9"/>
      <c r="H16" s="9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1:24" ht="17.25" customHeight="1">
      <c r="A17" s="24"/>
      <c r="B17" s="9" t="s">
        <v>194</v>
      </c>
      <c r="C17" s="9" t="s">
        <v>195</v>
      </c>
      <c r="D17" s="8" t="s">
        <v>196</v>
      </c>
      <c r="E17" s="9"/>
      <c r="F17" s="9"/>
      <c r="G17" s="9"/>
      <c r="H17" s="9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1:24" ht="17.25" customHeight="1">
      <c r="A18" s="24"/>
      <c r="B18" s="8" t="s">
        <v>199</v>
      </c>
      <c r="C18" s="9" t="s">
        <v>201</v>
      </c>
      <c r="D18" s="8" t="s">
        <v>135</v>
      </c>
      <c r="E18" s="9"/>
      <c r="F18" s="9"/>
      <c r="G18" s="9"/>
      <c r="H18" s="9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spans="1:24" ht="17.25" customHeight="1">
      <c r="A19" s="24"/>
      <c r="B19" s="8"/>
      <c r="C19" s="9" t="s">
        <v>204</v>
      </c>
      <c r="D19" s="8"/>
      <c r="E19" s="9"/>
      <c r="F19" s="9"/>
      <c r="G19" s="9"/>
      <c r="H19" s="9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spans="1:24" ht="17.25" customHeight="1">
      <c r="A20" s="24"/>
      <c r="B20" s="25"/>
      <c r="C20" s="9" t="s">
        <v>206</v>
      </c>
      <c r="D20" s="8"/>
      <c r="E20" s="9"/>
      <c r="F20" s="9"/>
      <c r="G20" s="9"/>
      <c r="H20" s="9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spans="1:24" ht="15.75" customHeight="1">
      <c r="A21" s="24"/>
      <c r="B21" s="25"/>
      <c r="C21" s="9" t="s">
        <v>208</v>
      </c>
      <c r="D21" s="8"/>
      <c r="E21" s="9"/>
      <c r="F21" s="9"/>
      <c r="G21" s="9"/>
      <c r="H21" s="9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spans="1:24" ht="15.75" customHeight="1">
      <c r="A22" s="24"/>
      <c r="B22" s="25"/>
      <c r="C22" s="9" t="s">
        <v>226</v>
      </c>
      <c r="D22" s="8"/>
      <c r="E22" s="9"/>
      <c r="F22" s="9"/>
      <c r="G22" s="9"/>
      <c r="H22" s="9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 ht="15.75" customHeight="1">
      <c r="A23" s="24"/>
      <c r="B23" s="25"/>
      <c r="C23" s="9" t="s">
        <v>224</v>
      </c>
      <c r="D23" s="8"/>
      <c r="E23" s="9"/>
      <c r="F23" s="9"/>
      <c r="G23" s="9"/>
      <c r="H23" s="9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 ht="15.75" customHeight="1">
      <c r="A24" s="24"/>
      <c r="B24" s="25"/>
      <c r="C24" s="9" t="s">
        <v>233</v>
      </c>
      <c r="D24" s="8"/>
      <c r="E24" s="9"/>
      <c r="F24" s="9"/>
      <c r="G24" s="9"/>
      <c r="H24" s="9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24" ht="15.75" customHeight="1">
      <c r="A25" s="24"/>
      <c r="B25" s="25"/>
      <c r="C25" s="9" t="s">
        <v>236</v>
      </c>
      <c r="D25" s="8"/>
      <c r="E25" s="9"/>
      <c r="F25" s="9"/>
      <c r="G25" s="9"/>
      <c r="H25" s="9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1:24" ht="15.75" customHeight="1">
      <c r="A26" s="24"/>
      <c r="B26" s="25"/>
      <c r="C26" s="9" t="s">
        <v>241</v>
      </c>
      <c r="D26" s="8"/>
      <c r="E26" s="9"/>
      <c r="F26" s="9"/>
      <c r="G26" s="9"/>
      <c r="H26" s="9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1:24" ht="17.25" customHeight="1">
      <c r="A27" s="24"/>
      <c r="B27" s="25"/>
      <c r="C27" s="25"/>
      <c r="D27" s="9"/>
      <c r="E27" s="9"/>
      <c r="F27" s="9"/>
      <c r="G27" s="9"/>
      <c r="H27" s="9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spans="1:24" ht="17.25" customHeight="1">
      <c r="A28" s="24"/>
      <c r="B28" s="25"/>
      <c r="C28" s="25"/>
      <c r="D28" s="9"/>
      <c r="E28" s="9"/>
      <c r="F28" s="9"/>
      <c r="G28" s="9"/>
      <c r="H28" s="9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spans="1:24" ht="17.25" customHeight="1">
      <c r="A29" s="24"/>
      <c r="B29" s="25"/>
      <c r="C29" s="25"/>
      <c r="D29" s="9"/>
      <c r="E29" s="9"/>
      <c r="F29" s="9"/>
      <c r="G29" s="9"/>
      <c r="H29" s="9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spans="1:24" ht="17.25" customHeight="1">
      <c r="A30" s="24"/>
      <c r="B30" s="25"/>
      <c r="C30" s="25"/>
      <c r="D30" s="9"/>
      <c r="E30" s="9"/>
      <c r="F30" s="9"/>
      <c r="G30" s="9"/>
      <c r="H30" s="9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1:24" ht="17.25" customHeight="1">
      <c r="A31" s="24"/>
      <c r="B31" s="25"/>
      <c r="C31" s="25"/>
      <c r="D31" s="9"/>
      <c r="E31" s="9"/>
      <c r="F31" s="9"/>
      <c r="G31" s="9"/>
      <c r="H31" s="9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spans="1:24" ht="17.25" customHeight="1">
      <c r="A32" s="24"/>
      <c r="B32" s="25"/>
      <c r="C32" s="25"/>
      <c r="D32" s="9"/>
      <c r="E32" s="9"/>
      <c r="F32" s="9"/>
      <c r="G32" s="9"/>
      <c r="H32" s="9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spans="1:24" ht="17.25" customHeight="1">
      <c r="A33" s="24"/>
      <c r="B33" s="25"/>
      <c r="C33" s="25"/>
      <c r="D33" s="9"/>
      <c r="E33" s="9"/>
      <c r="F33" s="9"/>
      <c r="G33" s="9"/>
      <c r="H33" s="9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spans="1:24" ht="17.25" customHeight="1">
      <c r="A34" s="24"/>
      <c r="B34" s="25"/>
      <c r="C34" s="25"/>
      <c r="D34" s="9"/>
      <c r="E34" s="9"/>
      <c r="F34" s="9"/>
      <c r="G34" s="9"/>
      <c r="H34" s="9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spans="1:24" ht="17.25" customHeight="1">
      <c r="A35" s="24"/>
      <c r="B35" s="25"/>
      <c r="C35" s="25"/>
      <c r="D35" s="9"/>
      <c r="E35" s="9"/>
      <c r="F35" s="9"/>
      <c r="G35" s="9"/>
      <c r="H35" s="9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spans="1:24" ht="17.25" customHeight="1">
      <c r="A36" s="24"/>
      <c r="B36" s="25"/>
      <c r="C36" s="25"/>
      <c r="D36" s="9"/>
      <c r="E36" s="9"/>
      <c r="F36" s="9"/>
      <c r="G36" s="9"/>
      <c r="H36" s="9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spans="1:24" ht="17.25" customHeight="1">
      <c r="A37" s="24"/>
      <c r="B37" s="25"/>
      <c r="C37" s="25"/>
      <c r="D37" s="9"/>
      <c r="E37" s="9"/>
      <c r="F37" s="9"/>
      <c r="G37" s="9"/>
      <c r="H37" s="9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spans="1:24" ht="17.25" customHeight="1">
      <c r="A38" s="24"/>
      <c r="B38" s="25"/>
      <c r="C38" s="25"/>
      <c r="D38" s="9"/>
      <c r="E38" s="9"/>
      <c r="F38" s="9"/>
      <c r="G38" s="9"/>
      <c r="H38" s="9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spans="1:24" ht="15.75" customHeight="1">
      <c r="A39" s="24"/>
      <c r="B39" s="25"/>
      <c r="C39" s="25"/>
      <c r="D39" s="9"/>
      <c r="E39" s="9"/>
      <c r="F39" s="9"/>
      <c r="G39" s="9"/>
      <c r="H39" s="9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spans="1:24" ht="15.75" customHeight="1">
      <c r="A40" s="24"/>
      <c r="B40" s="25"/>
      <c r="C40" s="25"/>
      <c r="D40" s="9"/>
      <c r="E40" s="9"/>
      <c r="F40" s="9"/>
      <c r="G40" s="9"/>
      <c r="H40" s="9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spans="1:24" ht="15.75" customHeight="1">
      <c r="A41" s="24"/>
      <c r="B41" s="25"/>
      <c r="C41" s="25"/>
      <c r="D41" s="9"/>
      <c r="E41" s="9"/>
      <c r="F41" s="9"/>
      <c r="G41" s="9"/>
      <c r="H41" s="9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spans="1:24" ht="15.75" customHeight="1">
      <c r="A42" s="24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spans="1:24" ht="15.75" customHeight="1">
      <c r="A43" s="24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spans="1:24" ht="15.75" customHeight="1">
      <c r="A44" s="24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spans="1:24" ht="15.75" customHeight="1">
      <c r="A45" s="24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spans="1:24" ht="15.75" customHeight="1">
      <c r="A46" s="24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spans="1:24" ht="15.75" customHeight="1">
      <c r="A47" s="24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1:24" ht="15.75" customHeight="1">
      <c r="A48" s="24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spans="1:24" ht="15.75" customHeight="1">
      <c r="A49" s="24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 spans="1:24" ht="15.75" customHeight="1">
      <c r="A50" s="24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spans="1:24" ht="15.75" customHeight="1">
      <c r="A51" s="24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 spans="1:24" ht="15.75" customHeight="1">
      <c r="A52" s="24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spans="1:24" ht="15.75" customHeight="1">
      <c r="A53" s="24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spans="1:24" ht="15.75" customHeight="1">
      <c r="A54" s="24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spans="1:24" ht="15.75" customHeight="1">
      <c r="A55" s="24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1:24" ht="15.75" customHeight="1">
      <c r="A56" s="24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1:24" ht="15.75" customHeight="1">
      <c r="A57" s="24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spans="1:24" ht="15.75" customHeight="1">
      <c r="A58" s="24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 ht="15.75" customHeight="1">
      <c r="A59" s="24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spans="1:24" ht="15.75" customHeight="1">
      <c r="A60" s="24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spans="1:24" ht="15.75" customHeight="1">
      <c r="A61" s="24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spans="1:24" ht="15.75" customHeight="1">
      <c r="A62" s="24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1:24" ht="15.75" customHeight="1">
      <c r="A63" s="24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1:24" ht="15.75" customHeight="1">
      <c r="A64" s="24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spans="1:24" ht="15.75" customHeight="1">
      <c r="A65" s="24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spans="1:24" ht="15.75" customHeight="1">
      <c r="A66" s="24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spans="1:24" ht="15.75" customHeight="1">
      <c r="A67" s="24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spans="1:24" ht="15.75" customHeight="1">
      <c r="A68" s="24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spans="1:24" ht="15.75" customHeight="1">
      <c r="A69" s="24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spans="1:24" ht="15.75" customHeight="1">
      <c r="A70" s="24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spans="1:24" ht="15.75" customHeight="1">
      <c r="A71" s="24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1:24" ht="15.75" customHeight="1">
      <c r="A72" s="24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spans="1:24" ht="15.75" customHeight="1">
      <c r="A73" s="24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spans="1:24" ht="15.75" customHeight="1">
      <c r="A74" s="24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spans="1:24" ht="15.75" customHeight="1">
      <c r="A75" s="24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spans="1:24" ht="15.75" customHeight="1">
      <c r="A76" s="24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spans="1:24" ht="15.75" customHeight="1">
      <c r="A77" s="24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spans="1:24" ht="15.75" customHeight="1">
      <c r="A78" s="24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spans="1:24" ht="15.75" customHeight="1">
      <c r="A79" s="24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spans="1:24" ht="15.75" customHeight="1">
      <c r="A80" s="24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spans="1:24" ht="15.75" customHeight="1">
      <c r="A81" s="24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spans="1:24" ht="15.75" customHeight="1">
      <c r="A82" s="24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spans="1:24" ht="15.75" customHeight="1">
      <c r="A83" s="24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spans="1:24" ht="15.75" customHeight="1">
      <c r="A84" s="24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spans="1:24" ht="15.75" customHeight="1">
      <c r="A85" s="24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spans="1:24" ht="15.75" customHeight="1">
      <c r="A86" s="24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spans="1:24" ht="15.75" customHeight="1">
      <c r="A87" s="24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spans="1:24" ht="15.75" customHeight="1">
      <c r="A88" s="24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spans="1:24" ht="15.75" customHeight="1">
      <c r="A89" s="24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spans="1:24" ht="15.75" customHeight="1">
      <c r="A90" s="24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spans="1:24" ht="15.75" customHeight="1">
      <c r="A91" s="24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1:24" ht="15.75" customHeight="1">
      <c r="A92" s="24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spans="1:24" ht="15.75" customHeight="1">
      <c r="A93" s="24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spans="1:24" ht="15.75" customHeight="1">
      <c r="A94" s="24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spans="1:24" ht="15.75" customHeight="1">
      <c r="A95" s="24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spans="1:24" ht="15.75" customHeight="1">
      <c r="A96" s="24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spans="1:24" ht="15.75" customHeight="1">
      <c r="A97" s="24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spans="1:24" ht="15.75" customHeight="1">
      <c r="A98" s="24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spans="1:24" ht="15.75" customHeight="1">
      <c r="A99" s="24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spans="1:24" ht="15.75" customHeight="1">
      <c r="A100" s="24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spans="1:24" ht="15.75" customHeight="1">
      <c r="A101" s="24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spans="1:24" ht="15.75" customHeight="1">
      <c r="A102" s="24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spans="1:24" ht="15.75" customHeight="1">
      <c r="A103" s="24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spans="1:24" ht="15.75" customHeight="1">
      <c r="A104" s="24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spans="1:24" ht="15.75" customHeight="1">
      <c r="A105" s="24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spans="1:24" ht="15.75" customHeight="1">
      <c r="A106" s="24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spans="1:24" ht="15.75" customHeight="1">
      <c r="A107" s="24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spans="1:24" ht="15.75" customHeight="1">
      <c r="A108" s="24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spans="1:24" ht="15.75" customHeight="1">
      <c r="A109" s="24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spans="1:24" ht="15.75" customHeight="1">
      <c r="A110" s="24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spans="1:24" ht="15.75" customHeight="1">
      <c r="A111" s="24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spans="1:24" ht="15.75" customHeight="1">
      <c r="A112" s="24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spans="1:24" ht="15.75" customHeight="1">
      <c r="A113" s="24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spans="1:24" ht="15.75" customHeight="1">
      <c r="A114" s="24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spans="1:24" ht="15.75" customHeight="1">
      <c r="A115" s="24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spans="1:24" ht="15.75" customHeight="1">
      <c r="A116" s="24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spans="1:24" ht="15.75" customHeight="1">
      <c r="A117" s="24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spans="1:24" ht="15.75" customHeight="1">
      <c r="A118" s="24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spans="1:24" ht="15.75" customHeight="1">
      <c r="A119" s="24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spans="1:24" ht="15.75" customHeight="1">
      <c r="A120" s="24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spans="1:24" ht="15.75" customHeight="1">
      <c r="A121" s="24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spans="1:24" ht="15.75" customHeight="1">
      <c r="A122" s="24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spans="1:24" ht="15.75" customHeight="1">
      <c r="A123" s="24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spans="1:24" ht="15.75" customHeight="1">
      <c r="A124" s="24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spans="1:24" ht="15.75" customHeight="1">
      <c r="A125" s="24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spans="1:24" ht="15.75" customHeight="1">
      <c r="A126" s="24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spans="1:24" ht="15.75" customHeight="1">
      <c r="A127" s="24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spans="1:24" ht="15.75" customHeight="1">
      <c r="A128" s="24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spans="1:24" ht="15.75" customHeight="1">
      <c r="A129" s="24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spans="1:24" ht="15.75" customHeight="1">
      <c r="A130" s="24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spans="1:24" ht="15.75" customHeight="1">
      <c r="A131" s="24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spans="1:24" ht="15.75" customHeight="1">
      <c r="A132" s="24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spans="1:24" ht="15.75" customHeight="1">
      <c r="A133" s="24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spans="1:24" ht="15.75" customHeight="1">
      <c r="A134" s="24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spans="1:24" ht="15.75" customHeight="1">
      <c r="A135" s="24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spans="1:24" ht="15.75" customHeight="1">
      <c r="A136" s="24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spans="1:24" ht="15.75" customHeight="1">
      <c r="A137" s="24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spans="1:24" ht="15.75" customHeight="1">
      <c r="A138" s="24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spans="1:24" ht="15.75" customHeight="1">
      <c r="A139" s="24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spans="1:24" ht="15.75" customHeight="1">
      <c r="A140" s="24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spans="1:24" ht="15.75" customHeight="1">
      <c r="A141" s="24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spans="1:24" ht="15.75" customHeight="1">
      <c r="A142" s="24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spans="1:24" ht="15.75" customHeight="1">
      <c r="A143" s="24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spans="1:24" ht="15.75" customHeight="1">
      <c r="A144" s="24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spans="1:24" ht="15.75" customHeight="1">
      <c r="A145" s="24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spans="1:24" ht="15.75" customHeight="1">
      <c r="A146" s="24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spans="1:24" ht="15.75" customHeight="1">
      <c r="A147" s="24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spans="1:24" ht="15.75" customHeight="1">
      <c r="A148" s="24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spans="1:24" ht="15.75" customHeight="1">
      <c r="A149" s="24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spans="1:24" ht="15.75" customHeight="1">
      <c r="A150" s="24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spans="1:24" ht="15.75" customHeight="1">
      <c r="A151" s="24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spans="1:24" ht="15.75" customHeight="1">
      <c r="A152" s="24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spans="1:24" ht="15.75" customHeight="1">
      <c r="A153" s="24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spans="1:24" ht="15.75" customHeight="1">
      <c r="A154" s="24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spans="1:24" ht="15.75" customHeight="1">
      <c r="A155" s="24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spans="1:24" ht="15.75" customHeight="1">
      <c r="A156" s="24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spans="1:24" ht="15.75" customHeight="1">
      <c r="A157" s="24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spans="1:24" ht="15.75" customHeight="1">
      <c r="A158" s="24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spans="1:24" ht="15.75" customHeight="1">
      <c r="A159" s="24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spans="1:24" ht="15.75" customHeight="1">
      <c r="A160" s="24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spans="1:24" ht="15.75" customHeight="1">
      <c r="A161" s="24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spans="1:24" ht="15.75" customHeight="1">
      <c r="A162" s="24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spans="1:24" ht="15.75" customHeight="1">
      <c r="A163" s="24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spans="1:24" ht="15.75" customHeight="1">
      <c r="A164" s="24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spans="1:24" ht="15.75" customHeight="1">
      <c r="A165" s="24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spans="1:24" ht="15.75" customHeight="1">
      <c r="A166" s="24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spans="1:24" ht="15.75" customHeight="1">
      <c r="A167" s="24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spans="1:24" ht="15.75" customHeight="1">
      <c r="A168" s="24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spans="1:24" ht="15.75" customHeight="1">
      <c r="A169" s="24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spans="1:24" ht="15.75" customHeight="1">
      <c r="A170" s="24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spans="1:24" ht="15.75" customHeight="1">
      <c r="A171" s="24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spans="1:24" ht="15.75" customHeight="1">
      <c r="A172" s="24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spans="1:24" ht="15.75" customHeight="1">
      <c r="A173" s="24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spans="1:24" ht="15.75" customHeight="1">
      <c r="A174" s="24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spans="1:24" ht="15.75" customHeight="1">
      <c r="A175" s="24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spans="1:24" ht="15.75" customHeight="1">
      <c r="A176" s="24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spans="1:24" ht="15.75" customHeight="1">
      <c r="A177" s="24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spans="1:24" ht="15.75" customHeight="1">
      <c r="A178" s="24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spans="1:24" ht="15.75" customHeight="1">
      <c r="A179" s="24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spans="1:24" ht="15.75" customHeight="1">
      <c r="A180" s="24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spans="1:24" ht="15.75" customHeight="1">
      <c r="A181" s="24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spans="1:24" ht="15.75" customHeight="1">
      <c r="A182" s="24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spans="1:24" ht="15.75" customHeight="1">
      <c r="A183" s="24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spans="1:24" ht="15.75" customHeight="1">
      <c r="A184" s="24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spans="1:24" ht="15.75" customHeight="1">
      <c r="A185" s="24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spans="1:24" ht="15.75" customHeight="1">
      <c r="A186" s="24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spans="1:24" ht="15.75" customHeight="1">
      <c r="A187" s="24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spans="1:24" ht="15.75" customHeight="1">
      <c r="A188" s="24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spans="1:24" ht="15.75" customHeight="1">
      <c r="A189" s="24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spans="1:24" ht="15.75" customHeight="1">
      <c r="A190" s="24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spans="1:24" ht="15.75" customHeight="1">
      <c r="A191" s="24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spans="1:24" ht="15.75" customHeight="1">
      <c r="A192" s="24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spans="1:24" ht="15.75" customHeight="1">
      <c r="A193" s="24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spans="1:24" ht="15.75" customHeight="1">
      <c r="A194" s="24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spans="1:24" ht="15.75" customHeight="1">
      <c r="A195" s="24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spans="1:24" ht="15.75" customHeight="1">
      <c r="A196" s="24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spans="1:24" ht="15.75" customHeight="1">
      <c r="A197" s="24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spans="1:24" ht="15.75" customHeight="1">
      <c r="A198" s="24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spans="1:24" ht="15.75" customHeight="1">
      <c r="A199" s="24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spans="1:24" ht="15.75" customHeight="1">
      <c r="A200" s="24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spans="1:24" ht="15.75" customHeight="1">
      <c r="A201" s="24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spans="1:24" ht="15.75" customHeight="1">
      <c r="A202" s="24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spans="1:24" ht="15.75" customHeight="1">
      <c r="A203" s="24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spans="1:24" ht="15.75" customHeight="1">
      <c r="A204" s="24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spans="1:24" ht="15.75" customHeight="1">
      <c r="A205" s="24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spans="1:24" ht="15.75" customHeight="1">
      <c r="A206" s="24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spans="1:24" ht="15.75" customHeight="1">
      <c r="A207" s="24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spans="1:24" ht="15.75" customHeight="1">
      <c r="A208" s="24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spans="1:24" ht="15.75" customHeight="1">
      <c r="A209" s="24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spans="1:24" ht="15.75" customHeight="1">
      <c r="A210" s="24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spans="1:24" ht="15.75" customHeight="1">
      <c r="A211" s="24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spans="1:24" ht="15.75" customHeight="1">
      <c r="A212" s="24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spans="1:24" ht="15.75" customHeight="1">
      <c r="A213" s="24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spans="1:24" ht="15.75" customHeight="1">
      <c r="A214" s="24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spans="1:24" ht="15.75" customHeight="1">
      <c r="A215" s="24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spans="1:24" ht="15.75" customHeight="1">
      <c r="A216" s="24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spans="1:24" ht="15.75" customHeight="1">
      <c r="A217" s="24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spans="1:24" ht="15.75" customHeight="1">
      <c r="A218" s="24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spans="1:24" ht="15.75" customHeight="1">
      <c r="A219" s="24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spans="1:24" ht="15.75" customHeight="1">
      <c r="A220" s="24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spans="1:24" ht="15.75" customHeight="1">
      <c r="A221" s="24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spans="1:24" ht="15.75" customHeight="1">
      <c r="A222" s="24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spans="1:24" ht="15.75" customHeight="1">
      <c r="A223" s="24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spans="1:24" ht="15.75" customHeight="1">
      <c r="A224" s="24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spans="1:24" ht="15.75" customHeight="1">
      <c r="A225" s="24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spans="1:24" ht="15.75" customHeight="1">
      <c r="A226" s="24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spans="1:24" ht="15.75" customHeight="1"/>
    <row r="228" spans="1:24" ht="15.75" customHeight="1"/>
    <row r="229" spans="1:24" ht="15.75" customHeight="1"/>
    <row r="230" spans="1:24" ht="15.75" customHeight="1"/>
    <row r="231" spans="1:24" ht="15.75" customHeight="1"/>
    <row r="232" spans="1:24" ht="15.75" customHeight="1"/>
    <row r="233" spans="1:24" ht="15.75" customHeight="1"/>
    <row r="234" spans="1:24" ht="15.75" customHeight="1"/>
    <row r="235" spans="1:24" ht="15.75" customHeight="1"/>
    <row r="236" spans="1:24" ht="15.75" customHeight="1"/>
    <row r="237" spans="1:24" ht="15.75" customHeight="1"/>
    <row r="238" spans="1:24" ht="15.75" customHeight="1"/>
    <row r="239" spans="1:24" ht="15.75" customHeight="1"/>
    <row r="240" spans="1:24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D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Y1000"/>
  <sheetViews>
    <sheetView workbookViewId="0">
      <pane ySplit="2" topLeftCell="A3" activePane="bottomLeft" state="frozen"/>
      <selection pane="bottomLeft" activeCell="B26" sqref="B26"/>
    </sheetView>
  </sheetViews>
  <sheetFormatPr defaultColWidth="12.6328125" defaultRowHeight="15" customHeight="1"/>
  <cols>
    <col min="1" max="1" width="3.90625" customWidth="1"/>
    <col min="2" max="2" width="23.36328125" customWidth="1"/>
    <col min="3" max="3" width="29.26953125" customWidth="1"/>
    <col min="4" max="4" width="14.90625" customWidth="1"/>
    <col min="5" max="6" width="14" customWidth="1"/>
    <col min="7" max="8" width="12.26953125" customWidth="1"/>
    <col min="9" max="9" width="50.90625" customWidth="1"/>
  </cols>
  <sheetData>
    <row r="1" spans="1:25" ht="24.75" customHeight="1">
      <c r="A1" s="101" t="s">
        <v>700</v>
      </c>
      <c r="B1" s="72"/>
      <c r="C1" s="72"/>
      <c r="D1" s="72"/>
      <c r="E1" s="72"/>
      <c r="F1" s="72"/>
      <c r="G1" s="72"/>
      <c r="H1" s="72"/>
      <c r="I1" s="72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15.75" customHeight="1">
      <c r="A2" s="72"/>
      <c r="B2" s="72"/>
      <c r="C2" s="72"/>
      <c r="D2" s="72"/>
      <c r="E2" s="72"/>
      <c r="F2" s="72"/>
      <c r="G2" s="72"/>
      <c r="H2" s="72"/>
      <c r="I2" s="72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10.5" customHeight="1">
      <c r="A3" s="97"/>
      <c r="B3" s="72"/>
      <c r="C3" s="72"/>
      <c r="D3" s="72"/>
      <c r="E3" s="72"/>
      <c r="F3" s="72"/>
      <c r="G3" s="72"/>
      <c r="H3" s="72"/>
      <c r="I3" s="72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15.75" customHeight="1">
      <c r="A4" s="99" t="s">
        <v>564</v>
      </c>
      <c r="B4" s="72"/>
      <c r="C4" s="72"/>
      <c r="D4" s="72"/>
      <c r="E4" s="72"/>
      <c r="F4" s="100" t="s">
        <v>566</v>
      </c>
      <c r="G4" s="72"/>
      <c r="H4" s="72"/>
      <c r="I4" s="72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5.75" customHeight="1">
      <c r="A5" s="51" t="s">
        <v>6</v>
      </c>
      <c r="B5" s="52" t="s">
        <v>567</v>
      </c>
      <c r="C5" s="52" t="s">
        <v>568</v>
      </c>
      <c r="D5" s="52" t="s">
        <v>569</v>
      </c>
      <c r="E5" s="52" t="s">
        <v>571</v>
      </c>
      <c r="F5" s="52" t="s">
        <v>572</v>
      </c>
      <c r="G5" s="52" t="s">
        <v>566</v>
      </c>
      <c r="H5" s="52" t="s">
        <v>573</v>
      </c>
      <c r="I5" s="52" t="s">
        <v>574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15.75" customHeight="1">
      <c r="A6" s="7">
        <v>1</v>
      </c>
      <c r="B6" s="7"/>
      <c r="C6" s="7"/>
      <c r="D6" s="7"/>
      <c r="E6" s="7"/>
      <c r="F6" s="7"/>
      <c r="G6" s="53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15.75" customHeight="1">
      <c r="A7" s="7">
        <v>2</v>
      </c>
      <c r="B7" s="7"/>
      <c r="C7" s="7"/>
      <c r="D7" s="7"/>
      <c r="E7" s="7"/>
      <c r="F7" s="7"/>
      <c r="G7" s="60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15.75" customHeight="1">
      <c r="A8" s="7">
        <v>3</v>
      </c>
      <c r="B8" s="7"/>
      <c r="C8" s="7"/>
      <c r="D8" s="7"/>
      <c r="E8" s="7"/>
      <c r="F8" s="7"/>
      <c r="G8" s="53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5.75" customHeight="1">
      <c r="A9" s="7">
        <v>4</v>
      </c>
      <c r="B9" s="7"/>
      <c r="C9" s="7"/>
      <c r="D9" s="7"/>
      <c r="E9" s="7"/>
      <c r="F9" s="7"/>
      <c r="G9" s="60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5.75" customHeight="1">
      <c r="A10" s="7">
        <v>5</v>
      </c>
      <c r="B10" s="7"/>
      <c r="C10" s="7"/>
      <c r="D10" s="7"/>
      <c r="E10" s="7"/>
      <c r="F10" s="7"/>
      <c r="G10" s="53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5.75" customHeight="1">
      <c r="A11" s="7">
        <v>6</v>
      </c>
      <c r="B11" s="7"/>
      <c r="C11" s="7"/>
      <c r="D11" s="7"/>
      <c r="E11" s="7"/>
      <c r="F11" s="7"/>
      <c r="G11" s="53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15.75" customHeight="1">
      <c r="A12" s="7">
        <v>7</v>
      </c>
      <c r="B12" s="7"/>
      <c r="C12" s="7"/>
      <c r="D12" s="7"/>
      <c r="E12" s="7"/>
      <c r="F12" s="7"/>
      <c r="G12" s="53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15.75" customHeight="1">
      <c r="A13" s="7">
        <v>8</v>
      </c>
      <c r="B13" s="7"/>
      <c r="C13" s="7"/>
      <c r="D13" s="7"/>
      <c r="E13" s="7"/>
      <c r="F13" s="7"/>
      <c r="G13" s="53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15.75" customHeight="1">
      <c r="A14" s="7">
        <v>9</v>
      </c>
      <c r="B14" s="7"/>
      <c r="C14" s="7"/>
      <c r="D14" s="7"/>
      <c r="E14" s="7"/>
      <c r="F14" s="7"/>
      <c r="G14" s="53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5.75" customHeight="1">
      <c r="A15" s="7">
        <v>10</v>
      </c>
      <c r="B15" s="7"/>
      <c r="C15" s="7"/>
      <c r="D15" s="7"/>
      <c r="E15" s="7"/>
      <c r="F15" s="7"/>
      <c r="G15" s="53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0.5" customHeight="1">
      <c r="A16" s="97"/>
      <c r="B16" s="72"/>
      <c r="C16" s="72"/>
      <c r="D16" s="72"/>
      <c r="E16" s="72"/>
      <c r="F16" s="72"/>
      <c r="G16" s="72"/>
      <c r="H16" s="72"/>
      <c r="I16" s="72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ht="15.75" customHeight="1">
      <c r="A17" s="99" t="s">
        <v>564</v>
      </c>
      <c r="B17" s="72"/>
      <c r="C17" s="72"/>
      <c r="D17" s="72"/>
      <c r="E17" s="100" t="s">
        <v>598</v>
      </c>
      <c r="F17" s="72"/>
      <c r="G17" s="72"/>
      <c r="H17" s="72"/>
      <c r="I17" s="72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ht="15.75" customHeight="1">
      <c r="A18" s="52" t="s">
        <v>6</v>
      </c>
      <c r="B18" s="52" t="s">
        <v>567</v>
      </c>
      <c r="C18" s="52" t="s">
        <v>568</v>
      </c>
      <c r="D18" s="52" t="s">
        <v>569</v>
      </c>
      <c r="E18" s="52" t="s">
        <v>600</v>
      </c>
      <c r="F18" s="52"/>
      <c r="G18" s="52"/>
      <c r="H18" s="52" t="s">
        <v>604</v>
      </c>
      <c r="I18" s="52" t="s">
        <v>605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ht="15.75" customHeight="1">
      <c r="A19" s="7">
        <v>1</v>
      </c>
      <c r="B19" s="7" t="s">
        <v>701</v>
      </c>
      <c r="C19" s="7"/>
      <c r="D19" s="7" t="s">
        <v>702</v>
      </c>
      <c r="E19" s="7"/>
      <c r="F19" s="7"/>
      <c r="G19" s="7"/>
      <c r="H19" s="7" t="s">
        <v>641</v>
      </c>
      <c r="I19" s="7" t="s">
        <v>703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ht="15.75" customHeight="1">
      <c r="A20" s="7">
        <v>2</v>
      </c>
      <c r="B20" s="7" t="s">
        <v>704</v>
      </c>
      <c r="C20" s="7"/>
      <c r="D20" s="7" t="s">
        <v>705</v>
      </c>
      <c r="E20" s="61" t="s">
        <v>706</v>
      </c>
      <c r="F20" s="7"/>
      <c r="G20" s="7"/>
      <c r="H20" s="7"/>
      <c r="I20" s="7" t="s">
        <v>707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ht="15.75" customHeight="1">
      <c r="A21" s="7">
        <v>3</v>
      </c>
      <c r="B21" s="7" t="s">
        <v>708</v>
      </c>
      <c r="C21" s="7"/>
      <c r="D21" s="7" t="s">
        <v>702</v>
      </c>
      <c r="E21" s="7" t="s">
        <v>775</v>
      </c>
      <c r="F21" s="7"/>
      <c r="G21" s="7"/>
      <c r="H21" s="7" t="s">
        <v>641</v>
      </c>
      <c r="I21" s="7" t="s">
        <v>709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ht="15.75" customHeight="1">
      <c r="A22" s="7">
        <v>4</v>
      </c>
      <c r="B22" s="7" t="s">
        <v>710</v>
      </c>
      <c r="C22" s="7"/>
      <c r="D22" s="7" t="s">
        <v>711</v>
      </c>
      <c r="E22" s="61" t="s">
        <v>712</v>
      </c>
      <c r="F22" s="7"/>
      <c r="G22" s="7"/>
      <c r="H22" s="7"/>
      <c r="I22" s="7" t="s">
        <v>713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ht="15.75" customHeight="1">
      <c r="A23" s="7">
        <v>5</v>
      </c>
      <c r="B23" s="7" t="s">
        <v>714</v>
      </c>
      <c r="C23" s="7"/>
      <c r="D23" s="7" t="s">
        <v>711</v>
      </c>
      <c r="E23" s="7"/>
      <c r="F23" s="7"/>
      <c r="G23" s="7"/>
      <c r="H23" s="7"/>
      <c r="I23" s="7" t="s">
        <v>715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ht="15.75" customHeight="1">
      <c r="A24" s="7">
        <v>6</v>
      </c>
      <c r="B24" s="7" t="s">
        <v>716</v>
      </c>
      <c r="C24" s="7"/>
      <c r="D24" s="7" t="s">
        <v>705</v>
      </c>
      <c r="E24" s="61" t="s">
        <v>717</v>
      </c>
      <c r="F24" s="7"/>
      <c r="G24" s="7"/>
      <c r="H24" s="7"/>
      <c r="I24" s="7" t="s">
        <v>718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ht="15.75" customHeight="1">
      <c r="A25" s="7">
        <v>7</v>
      </c>
      <c r="B25" s="7" t="s">
        <v>874</v>
      </c>
      <c r="C25" s="7"/>
      <c r="D25" s="7" t="s">
        <v>711</v>
      </c>
      <c r="E25" s="7" t="s">
        <v>875</v>
      </c>
      <c r="F25" s="7"/>
      <c r="G25" s="7"/>
      <c r="H25" s="7"/>
      <c r="I25" s="7" t="s">
        <v>876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ht="15.75" customHeight="1">
      <c r="A26" s="7">
        <v>8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 ht="15.75" customHeight="1">
      <c r="A27" s="7">
        <v>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ht="15.75" customHeight="1">
      <c r="A28" s="7">
        <v>10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ht="15.75" customHeight="1">
      <c r="A29" s="7">
        <v>11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ht="15.75" customHeight="1">
      <c r="A30" s="7">
        <v>12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ht="15.75" customHeight="1">
      <c r="A31" s="7">
        <v>13</v>
      </c>
      <c r="B31" s="7"/>
      <c r="C31" s="7"/>
      <c r="D31" s="7"/>
      <c r="E31" s="56"/>
      <c r="F31" s="7"/>
      <c r="G31" s="5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ht="15.75" customHeight="1">
      <c r="A32" s="7">
        <v>14</v>
      </c>
      <c r="B32" s="7"/>
      <c r="C32" s="7"/>
      <c r="D32" s="7"/>
      <c r="E32" s="56"/>
      <c r="F32" s="50"/>
      <c r="G32" s="5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ht="15.75" customHeight="1">
      <c r="A33" s="7">
        <v>15</v>
      </c>
      <c r="B33" s="7"/>
      <c r="C33" s="7"/>
      <c r="D33" s="7"/>
      <c r="E33" s="56"/>
      <c r="F33" s="50"/>
      <c r="G33" s="5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ht="15.75" customHeight="1">
      <c r="A34" s="7">
        <v>16</v>
      </c>
      <c r="B34" s="7"/>
      <c r="C34" s="7"/>
      <c r="D34" s="7"/>
      <c r="E34" s="56"/>
      <c r="F34" s="50"/>
      <c r="G34" s="5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ht="15.75" customHeight="1">
      <c r="A35" s="7">
        <v>17</v>
      </c>
      <c r="B35" s="7"/>
      <c r="C35" s="7"/>
      <c r="D35" s="7"/>
      <c r="E35" s="56"/>
      <c r="F35" s="50"/>
      <c r="G35" s="5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ht="15.75" customHeight="1">
      <c r="A36" s="7">
        <v>18</v>
      </c>
      <c r="B36" s="7"/>
      <c r="C36" s="7"/>
      <c r="D36" s="7"/>
      <c r="E36" s="56"/>
      <c r="F36" s="50"/>
      <c r="G36" s="5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ht="15.75" customHeight="1">
      <c r="A37" s="7">
        <v>19</v>
      </c>
      <c r="B37" s="7"/>
      <c r="C37" s="7"/>
      <c r="D37" s="7"/>
      <c r="E37" s="56"/>
      <c r="F37" s="50"/>
      <c r="G37" s="5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ht="15.75" customHeight="1">
      <c r="A38" s="7">
        <v>20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ht="15.75" customHeight="1">
      <c r="A39" s="7">
        <v>21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ht="15.75" customHeight="1">
      <c r="A40" s="7">
        <v>22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ht="15.75" customHeight="1">
      <c r="A41" s="7">
        <v>23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ht="15.75" customHeight="1">
      <c r="A42" s="7">
        <v>24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ht="15.75" customHeight="1">
      <c r="A43" s="7">
        <v>25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ht="15.75" customHeight="1">
      <c r="A44" s="7">
        <v>26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ht="15.75" customHeight="1">
      <c r="A45" s="7">
        <v>27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ht="15.75" customHeight="1">
      <c r="A46" s="7">
        <v>28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ht="15.75" customHeight="1">
      <c r="A47" s="7">
        <v>29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ht="15.75" customHeight="1">
      <c r="A48" s="7">
        <v>30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ht="15.75" customHeight="1">
      <c r="A49" s="7">
        <v>31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ht="15.75" customHeight="1">
      <c r="A50" s="7">
        <v>32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ht="15.75" customHeight="1">
      <c r="A51" s="7">
        <v>33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ht="15.75" customHeight="1">
      <c r="A52" s="7">
        <v>34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 ht="15.75" customHeight="1">
      <c r="A53" s="7">
        <v>35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 ht="15.75" customHeight="1">
      <c r="A54" s="7">
        <v>36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 ht="15.75" customHeight="1">
      <c r="A55" s="7">
        <v>37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 ht="15.75" customHeight="1">
      <c r="A56" s="7">
        <v>38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 ht="15.75" customHeight="1">
      <c r="A57" s="7">
        <v>39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 ht="15.75" customHeight="1">
      <c r="A58" s="7">
        <v>40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ht="15.75" customHeight="1">
      <c r="A59" s="7">
        <v>41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ht="15.75" customHeight="1">
      <c r="A60" s="7">
        <v>42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ht="15.75" customHeight="1">
      <c r="A61" s="7">
        <v>43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 ht="15.75" customHeight="1">
      <c r="A62" s="7">
        <v>44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 ht="15.75" customHeight="1">
      <c r="A63" s="7">
        <v>45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 ht="15.75" customHeight="1">
      <c r="A64" s="7">
        <v>46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 ht="15.75" customHeight="1">
      <c r="A65" s="7">
        <v>47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 ht="15.75" customHeight="1">
      <c r="A66" s="7">
        <v>48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 ht="15.75" customHeight="1">
      <c r="A67" s="7">
        <v>49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ht="15.75" customHeight="1">
      <c r="A68" s="7">
        <v>50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ht="15.75" customHeight="1">
      <c r="A69" s="7">
        <v>51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ht="15.75" customHeight="1">
      <c r="A70" s="7">
        <v>52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 ht="15.75" customHeight="1">
      <c r="A71" s="7">
        <v>53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 ht="15.75" customHeight="1">
      <c r="A72" s="7">
        <v>54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 ht="15.75" customHeight="1">
      <c r="A73" s="7">
        <v>55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 ht="15.75" customHeight="1">
      <c r="A74" s="7">
        <v>56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 ht="15.75" customHeight="1">
      <c r="A75" s="7">
        <v>57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 ht="15.75" customHeight="1">
      <c r="A76" s="7">
        <v>58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ht="15.75" customHeight="1">
      <c r="A77" s="7">
        <v>59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ht="15.75" customHeight="1">
      <c r="A78" s="7">
        <v>60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ht="15.75" customHeight="1">
      <c r="A79" s="7">
        <v>61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 ht="15.75" customHeight="1">
      <c r="A80" s="7">
        <v>62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 ht="15.75" customHeight="1">
      <c r="A81" s="7">
        <v>63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 ht="15.75" customHeight="1">
      <c r="A82" s="7">
        <v>64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 ht="15.75" customHeight="1">
      <c r="A83" s="7">
        <v>65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 ht="15.75" customHeight="1">
      <c r="A84" s="7">
        <v>66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 ht="15.75" customHeight="1">
      <c r="A85" s="7">
        <v>67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ht="15.75" customHeight="1">
      <c r="A86" s="7">
        <v>68</v>
      </c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ht="15.75" customHeight="1">
      <c r="A87" s="7">
        <v>69</v>
      </c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ht="15.75" customHeight="1">
      <c r="A88" s="7">
        <v>70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 ht="15.75" customHeight="1">
      <c r="A89" s="7">
        <v>71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 ht="15.75" customHeight="1">
      <c r="A90" s="7">
        <v>72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 ht="15.75" customHeight="1">
      <c r="A91" s="7">
        <v>73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 ht="15.75" customHeight="1">
      <c r="A92" s="7">
        <v>74</v>
      </c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 ht="15.75" customHeight="1">
      <c r="A93" s="7">
        <v>75</v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 ht="15.75" customHeight="1">
      <c r="A94" s="7">
        <v>76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ht="15.75" customHeight="1">
      <c r="A95" s="7">
        <v>77</v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ht="15.75" customHeight="1">
      <c r="A96" s="7">
        <v>78</v>
      </c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ht="15.75" customHeight="1">
      <c r="A97" s="7">
        <v>79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 ht="15.75" customHeight="1">
      <c r="A98" s="7">
        <v>80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 ht="15.75" customHeight="1">
      <c r="A99" s="7">
        <v>81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 ht="15.75" customHeight="1">
      <c r="A100" s="7">
        <v>82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 ht="15.75" customHeight="1">
      <c r="A101" s="7">
        <v>83</v>
      </c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 ht="15.75" customHeight="1">
      <c r="A102" s="7">
        <v>84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 ht="15.75" customHeight="1">
      <c r="A103" s="7">
        <v>85</v>
      </c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ht="15.75" customHeight="1">
      <c r="A104" s="7">
        <v>86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ht="15.75" customHeight="1">
      <c r="A105" s="7">
        <v>87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ht="15.75" customHeight="1">
      <c r="A106" s="7">
        <v>88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 ht="15.75" customHeight="1">
      <c r="A107" s="7">
        <v>89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 ht="15.75" customHeight="1">
      <c r="A108" s="7">
        <v>90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 ht="15.75" customHeight="1">
      <c r="A109" s="7">
        <v>91</v>
      </c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 ht="15.75" customHeight="1">
      <c r="A110" s="7">
        <v>92</v>
      </c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 ht="15.75" customHeight="1">
      <c r="A111" s="7">
        <v>93</v>
      </c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 ht="15.75" customHeight="1">
      <c r="A112" s="7">
        <v>94</v>
      </c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ht="15.75" customHeight="1">
      <c r="A113" s="7">
        <v>95</v>
      </c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ht="15.75" customHeight="1">
      <c r="A114" s="7">
        <v>96</v>
      </c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ht="15.75" customHeight="1">
      <c r="A115" s="7">
        <v>97</v>
      </c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 ht="15.75" customHeight="1">
      <c r="A116" s="7">
        <v>98</v>
      </c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 ht="15.75" customHeight="1">
      <c r="A117" s="7">
        <v>99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 ht="15.75" customHeight="1">
      <c r="A118" s="7">
        <v>100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 ht="15.75" customHeight="1">
      <c r="A119" s="7">
        <v>101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 ht="15.75" customHeight="1">
      <c r="A120" s="7">
        <v>102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 ht="15.75" customHeight="1">
      <c r="A121" s="7">
        <v>103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ht="15.75" customHeight="1">
      <c r="A122" s="7">
        <v>104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ht="15.75" customHeight="1">
      <c r="A123" s="7">
        <v>105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ht="15.75" customHeight="1">
      <c r="A124" s="7">
        <v>106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 ht="15.75" customHeight="1">
      <c r="A125" s="7">
        <v>107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 ht="15.75" customHeight="1">
      <c r="A126" s="7">
        <v>108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 ht="15.75" customHeight="1">
      <c r="A127" s="7">
        <v>109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 ht="15.75" customHeight="1">
      <c r="A128" s="7">
        <v>110</v>
      </c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 ht="15.75" customHeight="1">
      <c r="A129" s="7">
        <v>111</v>
      </c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 ht="15.75" customHeight="1">
      <c r="A130" s="7">
        <v>112</v>
      </c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 ht="15.75" customHeight="1">
      <c r="A131" s="7">
        <v>113</v>
      </c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 ht="15.75" customHeight="1">
      <c r="A132" s="7">
        <v>114</v>
      </c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 ht="15.75" customHeight="1">
      <c r="A133" s="7">
        <v>115</v>
      </c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 ht="15.75" customHeight="1">
      <c r="A134" s="7">
        <v>116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 ht="15.75" customHeight="1">
      <c r="A135" s="7">
        <v>117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 ht="15.75" customHeight="1">
      <c r="A136" s="7">
        <v>118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 ht="15.75" customHeight="1">
      <c r="A137" s="7">
        <v>119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 ht="15.75" customHeight="1">
      <c r="A138" s="7">
        <v>120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 ht="15.75" customHeight="1">
      <c r="A139" s="7">
        <v>121</v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 ht="15.75" customHeight="1">
      <c r="A140" s="7">
        <v>122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 ht="15.75" customHeight="1">
      <c r="A141" s="7">
        <v>123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 ht="15.75" customHeight="1">
      <c r="A142" s="7">
        <v>124</v>
      </c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 ht="15.75" customHeight="1">
      <c r="A143" s="7">
        <v>125</v>
      </c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 ht="15.75" customHeight="1">
      <c r="A144" s="7">
        <v>126</v>
      </c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 ht="15.75" customHeight="1">
      <c r="A145" s="7">
        <v>127</v>
      </c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 ht="15.75" customHeight="1">
      <c r="A146" s="7">
        <v>128</v>
      </c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 ht="15.75" customHeight="1">
      <c r="A147" s="7">
        <v>129</v>
      </c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 ht="15.75" customHeight="1">
      <c r="A148" s="7">
        <v>130</v>
      </c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 ht="15.75" customHeight="1">
      <c r="A149" s="7">
        <v>131</v>
      </c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 ht="15.75" customHeight="1">
      <c r="A150" s="7">
        <v>132</v>
      </c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 ht="15.75" customHeight="1">
      <c r="A151" s="7">
        <v>133</v>
      </c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 ht="15.75" customHeight="1">
      <c r="A152" s="7">
        <v>134</v>
      </c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 ht="15.75" customHeight="1">
      <c r="A153" s="7">
        <v>135</v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 ht="15.75" customHeight="1">
      <c r="A154" s="7">
        <v>136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 ht="15.75" customHeight="1">
      <c r="A155" s="7">
        <v>137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 ht="15.75" customHeight="1">
      <c r="A156" s="7">
        <v>138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 ht="15.75" customHeight="1">
      <c r="A157" s="7">
        <v>139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 ht="15.75" customHeight="1">
      <c r="A158" s="7">
        <v>140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 ht="15.75" customHeight="1">
      <c r="A159" s="7">
        <v>141</v>
      </c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 ht="15.75" customHeight="1">
      <c r="A160" s="7">
        <v>142</v>
      </c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 ht="15.75" customHeight="1">
      <c r="A161" s="7">
        <v>143</v>
      </c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 ht="15.75" customHeight="1">
      <c r="A162" s="7">
        <v>144</v>
      </c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1:25" ht="15.75" customHeight="1">
      <c r="A163" s="7">
        <v>145</v>
      </c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 ht="15.75" customHeight="1">
      <c r="A164" s="7">
        <v>146</v>
      </c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 ht="15.75" customHeight="1">
      <c r="A165" s="7">
        <v>147</v>
      </c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 ht="15.75" customHeight="1">
      <c r="A166" s="7">
        <v>148</v>
      </c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 ht="15.75" customHeight="1">
      <c r="A167" s="7">
        <v>149</v>
      </c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 ht="15.75" customHeight="1">
      <c r="A168" s="7">
        <v>150</v>
      </c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spans="1:25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spans="1:25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1:25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1:25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spans="1: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spans="1:25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spans="1:25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spans="1:25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spans="1:25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1:25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spans="1:25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1:25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spans="1:25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spans="1:25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spans="1:2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spans="1:25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spans="1:25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1:25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1:25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1:25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spans="1:25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spans="1:25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spans="1:25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1:25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1:2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1:25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spans="1:25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spans="1:25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1:25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1:25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spans="1:25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1:25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spans="1:25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spans="1:25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spans="1:2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1:25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spans="1:25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5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spans="1:25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spans="1:25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spans="1:25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spans="1:25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spans="1:25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spans="1:25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spans="1:2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spans="1:25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spans="1:25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spans="1:25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spans="1:25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spans="1:25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spans="1:25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spans="1:25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spans="1:25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spans="1:25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spans="1:2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spans="1:25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spans="1:25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spans="1:25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spans="1:25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spans="1:25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spans="1:25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spans="1:25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spans="1:25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spans="1:25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spans="1:2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spans="1:25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spans="1:25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spans="1:25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spans="1:25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spans="1:25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spans="1:25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spans="1:25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spans="1:25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spans="1:25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spans="1:2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spans="1:25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spans="1:25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spans="1:25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spans="1:25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spans="1:25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spans="1:25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spans="1:25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spans="1:25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spans="1:25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spans="1:2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spans="1:25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spans="1:25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spans="1:25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spans="1:25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spans="1:25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spans="1:25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spans="1:25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spans="1:25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spans="1:25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spans="1:2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spans="1:25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spans="1:25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spans="1:25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spans="1:25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spans="1:25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spans="1:25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spans="1:25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spans="1:25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spans="1:25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spans="1: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spans="1:25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spans="1:25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spans="1:25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spans="1:25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spans="1:25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spans="1:25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spans="1:25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spans="1:25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spans="1:25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spans="1:2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spans="1:25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spans="1:25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spans="1:25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spans="1:25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spans="1:25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spans="1:25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spans="1:25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spans="1:25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spans="1:25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spans="1:2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spans="1:25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spans="1:25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spans="1:25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spans="1:25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spans="1:25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spans="1:25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spans="1:25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spans="1:25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spans="1:25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spans="1:2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spans="1:25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spans="1:25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spans="1:25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spans="1:25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spans="1:25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spans="1:25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spans="1:25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spans="1:25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spans="1:25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spans="1:2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spans="1:25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spans="1:25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spans="1:25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7:D17"/>
    <mergeCell ref="E17:I17"/>
    <mergeCell ref="A1:I2"/>
    <mergeCell ref="A3:I3"/>
    <mergeCell ref="A4:E4"/>
    <mergeCell ref="F4:I4"/>
    <mergeCell ref="A16:I16"/>
  </mergeCells>
  <dataValidations count="1">
    <dataValidation type="list" allowBlank="1" showErrorMessage="1" sqref="H19:H168" xr:uid="{00000000-0002-0000-0500-000000000000}">
      <formula1>"Pending,Sent,Followed Up,Responded"</formula1>
    </dataValidation>
  </dataValidations>
  <hyperlinks>
    <hyperlink ref="A1" location="OVERVIEW!A1" display="Morgan Stanley Application Tracker" xr:uid="{00000000-0004-0000-0500-000000000000}"/>
    <hyperlink ref="E20" r:id="rId1" xr:uid="{00000000-0004-0000-0500-000001000000}"/>
    <hyperlink ref="E22" r:id="rId2" xr:uid="{00000000-0004-0000-0500-000002000000}"/>
    <hyperlink ref="E24" r:id="rId3" xr:uid="{00000000-0004-0000-0500-000003000000}"/>
  </hyperlinks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Y1000"/>
  <sheetViews>
    <sheetView tabSelected="1" workbookViewId="0">
      <pane ySplit="2" topLeftCell="A3" activePane="bottomLeft" state="frozen"/>
      <selection pane="bottomLeft" activeCell="D29" sqref="D29"/>
    </sheetView>
  </sheetViews>
  <sheetFormatPr defaultColWidth="12.6328125" defaultRowHeight="15" customHeight="1"/>
  <cols>
    <col min="1" max="1" width="3.90625" customWidth="1"/>
    <col min="2" max="2" width="23.36328125" customWidth="1"/>
    <col min="3" max="3" width="29.26953125" customWidth="1"/>
    <col min="4" max="4" width="14.90625" customWidth="1"/>
    <col min="5" max="6" width="14" customWidth="1"/>
    <col min="7" max="8" width="12.26953125" customWidth="1"/>
    <col min="9" max="9" width="50.90625" customWidth="1"/>
  </cols>
  <sheetData>
    <row r="1" spans="1:25" ht="24.75" customHeight="1">
      <c r="A1" s="104" t="s">
        <v>751</v>
      </c>
      <c r="B1" s="72"/>
      <c r="C1" s="72"/>
      <c r="D1" s="72"/>
      <c r="E1" s="72"/>
      <c r="F1" s="72"/>
      <c r="G1" s="72"/>
      <c r="H1" s="72"/>
      <c r="I1" s="72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15.75" customHeight="1">
      <c r="A2" s="72"/>
      <c r="B2" s="72"/>
      <c r="C2" s="72"/>
      <c r="D2" s="72"/>
      <c r="E2" s="72"/>
      <c r="F2" s="72"/>
      <c r="G2" s="72"/>
      <c r="H2" s="72"/>
      <c r="I2" s="72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10.5" customHeight="1">
      <c r="A3" s="97"/>
      <c r="B3" s="72"/>
      <c r="C3" s="72"/>
      <c r="D3" s="72"/>
      <c r="E3" s="72"/>
      <c r="F3" s="72"/>
      <c r="G3" s="72"/>
      <c r="H3" s="72"/>
      <c r="I3" s="72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15.75" customHeight="1">
      <c r="A4" s="99" t="s">
        <v>564</v>
      </c>
      <c r="B4" s="72"/>
      <c r="C4" s="72"/>
      <c r="D4" s="72"/>
      <c r="E4" s="72"/>
      <c r="F4" s="100" t="s">
        <v>566</v>
      </c>
      <c r="G4" s="72"/>
      <c r="H4" s="72"/>
      <c r="I4" s="72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5.75" customHeight="1">
      <c r="A5" s="51" t="s">
        <v>6</v>
      </c>
      <c r="B5" s="52" t="s">
        <v>567</v>
      </c>
      <c r="C5" s="52" t="s">
        <v>568</v>
      </c>
      <c r="D5" s="52" t="s">
        <v>569</v>
      </c>
      <c r="E5" s="52" t="s">
        <v>571</v>
      </c>
      <c r="F5" s="52" t="s">
        <v>572</v>
      </c>
      <c r="G5" s="52" t="s">
        <v>566</v>
      </c>
      <c r="H5" s="52" t="s">
        <v>573</v>
      </c>
      <c r="I5" s="52" t="s">
        <v>574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15.75" customHeight="1">
      <c r="A6" s="7">
        <v>1</v>
      </c>
      <c r="B6" s="7"/>
      <c r="C6" s="7"/>
      <c r="D6" s="7"/>
      <c r="E6" s="7"/>
      <c r="F6" s="7"/>
      <c r="G6" s="53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15.75" customHeight="1">
      <c r="A7" s="7">
        <v>2</v>
      </c>
      <c r="B7" s="7"/>
      <c r="C7" s="7"/>
      <c r="D7" s="7"/>
      <c r="E7" s="7"/>
      <c r="F7" s="7"/>
      <c r="G7" s="60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15.75" customHeight="1">
      <c r="A8" s="7">
        <v>3</v>
      </c>
      <c r="B8" s="7"/>
      <c r="C8" s="7"/>
      <c r="D8" s="7"/>
      <c r="E8" s="7"/>
      <c r="F8" s="7"/>
      <c r="G8" s="53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5.75" customHeight="1">
      <c r="A9" s="7">
        <v>4</v>
      </c>
      <c r="B9" s="7"/>
      <c r="C9" s="7"/>
      <c r="D9" s="7"/>
      <c r="E9" s="7"/>
      <c r="F9" s="7"/>
      <c r="G9" s="60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5.75" customHeight="1">
      <c r="A10" s="7">
        <v>5</v>
      </c>
      <c r="B10" s="7"/>
      <c r="C10" s="7"/>
      <c r="D10" s="7"/>
      <c r="E10" s="7"/>
      <c r="F10" s="7"/>
      <c r="G10" s="53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5.75" customHeight="1">
      <c r="A11" s="7">
        <v>6</v>
      </c>
      <c r="B11" s="7"/>
      <c r="C11" s="7"/>
      <c r="D11" s="7"/>
      <c r="E11" s="7"/>
      <c r="F11" s="7"/>
      <c r="G11" s="53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15.75" customHeight="1">
      <c r="A12" s="7">
        <v>7</v>
      </c>
      <c r="B12" s="7"/>
      <c r="C12" s="7"/>
      <c r="D12" s="7"/>
      <c r="E12" s="7"/>
      <c r="F12" s="7"/>
      <c r="G12" s="53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15.75" customHeight="1">
      <c r="A13" s="7">
        <v>8</v>
      </c>
      <c r="B13" s="7"/>
      <c r="C13" s="7"/>
      <c r="D13" s="7"/>
      <c r="E13" s="7"/>
      <c r="F13" s="7"/>
      <c r="G13" s="53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15.75" customHeight="1">
      <c r="A14" s="7">
        <v>9</v>
      </c>
      <c r="B14" s="7"/>
      <c r="C14" s="7"/>
      <c r="D14" s="7"/>
      <c r="E14" s="7"/>
      <c r="F14" s="7"/>
      <c r="G14" s="53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5.75" customHeight="1">
      <c r="A15" s="7">
        <v>10</v>
      </c>
      <c r="B15" s="7"/>
      <c r="C15" s="7"/>
      <c r="D15" s="7"/>
      <c r="E15" s="7"/>
      <c r="F15" s="7"/>
      <c r="G15" s="53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0.5" customHeight="1">
      <c r="A16" s="97"/>
      <c r="B16" s="72"/>
      <c r="C16" s="72"/>
      <c r="D16" s="72"/>
      <c r="E16" s="72"/>
      <c r="F16" s="72"/>
      <c r="G16" s="72"/>
      <c r="H16" s="72"/>
      <c r="I16" s="72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ht="15.75" customHeight="1">
      <c r="A17" s="99" t="s">
        <v>564</v>
      </c>
      <c r="B17" s="72"/>
      <c r="C17" s="72"/>
      <c r="D17" s="72"/>
      <c r="E17" s="100" t="s">
        <v>598</v>
      </c>
      <c r="F17" s="72"/>
      <c r="G17" s="72"/>
      <c r="H17" s="72"/>
      <c r="I17" s="72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ht="15.75" customHeight="1">
      <c r="A18" s="52" t="s">
        <v>6</v>
      </c>
      <c r="B18" s="52" t="s">
        <v>567</v>
      </c>
      <c r="C18" s="52" t="s">
        <v>568</v>
      </c>
      <c r="D18" s="52" t="s">
        <v>569</v>
      </c>
      <c r="E18" s="52" t="s">
        <v>600</v>
      </c>
      <c r="F18" s="52"/>
      <c r="G18" s="52"/>
      <c r="H18" s="52" t="s">
        <v>604</v>
      </c>
      <c r="I18" s="52" t="s">
        <v>605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ht="15.75" customHeight="1">
      <c r="A19" s="7">
        <v>1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ht="15.75" customHeight="1">
      <c r="A20" s="7">
        <v>2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ht="15.75" customHeight="1">
      <c r="A21" s="7">
        <v>3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ht="15.75" customHeight="1">
      <c r="A22" s="7">
        <v>4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ht="15.75" customHeight="1">
      <c r="A23" s="7">
        <v>5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ht="15.75" customHeight="1">
      <c r="A24" s="7">
        <v>6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ht="15.75" customHeight="1">
      <c r="A25" s="7">
        <v>7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ht="15.75" customHeight="1">
      <c r="A26" s="7">
        <v>8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 ht="15.75" customHeight="1">
      <c r="A27" s="7">
        <v>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ht="15.75" customHeight="1">
      <c r="A28" s="7">
        <v>10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ht="15.75" customHeight="1">
      <c r="A29" s="7">
        <v>11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ht="15.75" customHeight="1">
      <c r="A30" s="7">
        <v>12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ht="15.75" customHeight="1">
      <c r="A31" s="7">
        <v>13</v>
      </c>
      <c r="B31" s="7"/>
      <c r="C31" s="7"/>
      <c r="D31" s="7"/>
      <c r="E31" s="56"/>
      <c r="F31" s="7"/>
      <c r="G31" s="5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ht="15.75" customHeight="1">
      <c r="A32" s="7">
        <v>14</v>
      </c>
      <c r="B32" s="7"/>
      <c r="C32" s="7"/>
      <c r="D32" s="7"/>
      <c r="E32" s="56"/>
      <c r="F32" s="50"/>
      <c r="G32" s="5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ht="15.75" customHeight="1">
      <c r="A33" s="7">
        <v>15</v>
      </c>
      <c r="B33" s="7"/>
      <c r="C33" s="7"/>
      <c r="D33" s="7"/>
      <c r="E33" s="56"/>
      <c r="F33" s="50"/>
      <c r="G33" s="5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ht="15.75" customHeight="1">
      <c r="A34" s="7">
        <v>16</v>
      </c>
      <c r="B34" s="7"/>
      <c r="C34" s="7"/>
      <c r="D34" s="7"/>
      <c r="E34" s="56"/>
      <c r="F34" s="50"/>
      <c r="G34" s="5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ht="15.75" customHeight="1">
      <c r="A35" s="7">
        <v>17</v>
      </c>
      <c r="B35" s="7"/>
      <c r="C35" s="7"/>
      <c r="D35" s="7"/>
      <c r="E35" s="56"/>
      <c r="F35" s="50"/>
      <c r="G35" s="5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ht="15.75" customHeight="1">
      <c r="A36" s="7">
        <v>18</v>
      </c>
      <c r="B36" s="7"/>
      <c r="C36" s="7"/>
      <c r="D36" s="7"/>
      <c r="E36" s="56"/>
      <c r="F36" s="50"/>
      <c r="G36" s="5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ht="15.75" customHeight="1">
      <c r="A37" s="7">
        <v>19</v>
      </c>
      <c r="B37" s="7"/>
      <c r="C37" s="7"/>
      <c r="D37" s="7"/>
      <c r="E37" s="56"/>
      <c r="F37" s="50"/>
      <c r="G37" s="5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ht="15.75" customHeight="1">
      <c r="A38" s="7">
        <v>20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ht="15.75" customHeight="1">
      <c r="A39" s="7">
        <v>21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ht="15.75" customHeight="1">
      <c r="A40" s="7">
        <v>22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ht="15.75" customHeight="1">
      <c r="A41" s="7">
        <v>23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ht="15.75" customHeight="1">
      <c r="A42" s="7">
        <v>24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ht="15.75" customHeight="1">
      <c r="A43" s="7">
        <v>25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ht="15.75" customHeight="1">
      <c r="A44" s="7">
        <v>26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ht="15.75" customHeight="1">
      <c r="A45" s="7">
        <v>27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ht="15.75" customHeight="1">
      <c r="A46" s="7">
        <v>28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ht="15.75" customHeight="1">
      <c r="A47" s="7">
        <v>29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ht="15.75" customHeight="1">
      <c r="A48" s="7">
        <v>30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ht="15.75" customHeight="1">
      <c r="A49" s="7">
        <v>31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ht="15.75" customHeight="1">
      <c r="A50" s="7">
        <v>32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ht="15.75" customHeight="1">
      <c r="A51" s="7">
        <v>33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ht="15.75" customHeight="1">
      <c r="A52" s="7">
        <v>34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 ht="15.75" customHeight="1">
      <c r="A53" s="7">
        <v>35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 ht="15.75" customHeight="1">
      <c r="A54" s="7">
        <v>36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 ht="15.75" customHeight="1">
      <c r="A55" s="7">
        <v>37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 ht="15.75" customHeight="1">
      <c r="A56" s="7">
        <v>38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 ht="15.75" customHeight="1">
      <c r="A57" s="7">
        <v>39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 ht="15.75" customHeight="1">
      <c r="A58" s="7">
        <v>40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ht="15.75" customHeight="1">
      <c r="A59" s="7">
        <v>41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ht="15.75" customHeight="1">
      <c r="A60" s="7">
        <v>42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ht="15.75" customHeight="1">
      <c r="A61" s="7">
        <v>43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 ht="15.75" customHeight="1">
      <c r="A62" s="7">
        <v>44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 ht="15.75" customHeight="1">
      <c r="A63" s="7">
        <v>45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 ht="15.75" customHeight="1">
      <c r="A64" s="7">
        <v>46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 ht="15.75" customHeight="1">
      <c r="A65" s="7">
        <v>47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 ht="15.75" customHeight="1">
      <c r="A66" s="7">
        <v>48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 ht="15.75" customHeight="1">
      <c r="A67" s="7">
        <v>49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ht="15.75" customHeight="1">
      <c r="A68" s="7">
        <v>50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ht="15.75" customHeight="1">
      <c r="A69" s="7">
        <v>51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ht="15.75" customHeight="1">
      <c r="A70" s="7">
        <v>52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 ht="15.75" customHeight="1">
      <c r="A71" s="7">
        <v>53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 ht="15.75" customHeight="1">
      <c r="A72" s="7">
        <v>54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 ht="15.75" customHeight="1">
      <c r="A73" s="7">
        <v>55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 ht="15.75" customHeight="1">
      <c r="A74" s="7">
        <v>56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 ht="15.75" customHeight="1">
      <c r="A75" s="7">
        <v>57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 ht="15.75" customHeight="1">
      <c r="A76" s="7">
        <v>58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ht="15.75" customHeight="1">
      <c r="A77" s="7">
        <v>59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ht="15.75" customHeight="1">
      <c r="A78" s="7">
        <v>60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ht="15.75" customHeight="1">
      <c r="A79" s="7">
        <v>61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 ht="15.75" customHeight="1">
      <c r="A80" s="7">
        <v>62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 ht="15.75" customHeight="1">
      <c r="A81" s="7">
        <v>63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 ht="15.75" customHeight="1">
      <c r="A82" s="7">
        <v>64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 ht="15.75" customHeight="1">
      <c r="A83" s="7">
        <v>65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 ht="15.75" customHeight="1">
      <c r="A84" s="7">
        <v>66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 ht="15.75" customHeight="1">
      <c r="A85" s="7">
        <v>67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ht="15.75" customHeight="1">
      <c r="A86" s="7">
        <v>68</v>
      </c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ht="15.75" customHeight="1">
      <c r="A87" s="7">
        <v>69</v>
      </c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ht="15.75" customHeight="1">
      <c r="A88" s="7">
        <v>70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 ht="15.75" customHeight="1">
      <c r="A89" s="7">
        <v>71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 ht="15.75" customHeight="1">
      <c r="A90" s="7">
        <v>72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 ht="15.75" customHeight="1">
      <c r="A91" s="7">
        <v>73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 ht="15.75" customHeight="1">
      <c r="A92" s="7">
        <v>74</v>
      </c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 ht="15.75" customHeight="1">
      <c r="A93" s="7">
        <v>75</v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 ht="15.75" customHeight="1">
      <c r="A94" s="7">
        <v>76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ht="15.75" customHeight="1">
      <c r="A95" s="7">
        <v>77</v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ht="15.75" customHeight="1">
      <c r="A96" s="7">
        <v>78</v>
      </c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ht="15.75" customHeight="1">
      <c r="A97" s="7">
        <v>79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 ht="15.75" customHeight="1">
      <c r="A98" s="7">
        <v>80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 ht="15.75" customHeight="1">
      <c r="A99" s="7">
        <v>81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 ht="15.75" customHeight="1">
      <c r="A100" s="7">
        <v>82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 ht="15.75" customHeight="1">
      <c r="A101" s="7">
        <v>83</v>
      </c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 ht="15.75" customHeight="1">
      <c r="A102" s="7">
        <v>84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 ht="15.75" customHeight="1">
      <c r="A103" s="7">
        <v>85</v>
      </c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ht="15.75" customHeight="1">
      <c r="A104" s="7">
        <v>86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ht="15.75" customHeight="1">
      <c r="A105" s="7">
        <v>87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ht="15.75" customHeight="1">
      <c r="A106" s="7">
        <v>88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 ht="15.75" customHeight="1">
      <c r="A107" s="7">
        <v>89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 ht="15.75" customHeight="1">
      <c r="A108" s="7">
        <v>90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 ht="15.75" customHeight="1">
      <c r="A109" s="7">
        <v>91</v>
      </c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 ht="15.75" customHeight="1">
      <c r="A110" s="7">
        <v>92</v>
      </c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 ht="15.75" customHeight="1">
      <c r="A111" s="7">
        <v>93</v>
      </c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 ht="15.75" customHeight="1">
      <c r="A112" s="7">
        <v>94</v>
      </c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ht="15.75" customHeight="1">
      <c r="A113" s="7">
        <v>95</v>
      </c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ht="15.75" customHeight="1">
      <c r="A114" s="7">
        <v>96</v>
      </c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ht="15.75" customHeight="1">
      <c r="A115" s="7">
        <v>97</v>
      </c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 ht="15.75" customHeight="1">
      <c r="A116" s="7">
        <v>98</v>
      </c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 ht="15.75" customHeight="1">
      <c r="A117" s="7">
        <v>99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 ht="15.75" customHeight="1">
      <c r="A118" s="7">
        <v>100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 ht="15.75" customHeight="1">
      <c r="A119" s="7">
        <v>101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 ht="15.75" customHeight="1">
      <c r="A120" s="7">
        <v>102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 ht="15.75" customHeight="1">
      <c r="A121" s="7">
        <v>103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ht="15.75" customHeight="1">
      <c r="A122" s="7">
        <v>104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ht="15.75" customHeight="1">
      <c r="A123" s="7">
        <v>105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ht="15.75" customHeight="1">
      <c r="A124" s="7">
        <v>106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 ht="15.75" customHeight="1">
      <c r="A125" s="7">
        <v>107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 ht="15.75" customHeight="1">
      <c r="A126" s="7">
        <v>108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 ht="15.75" customHeight="1">
      <c r="A127" s="7">
        <v>109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 ht="15.75" customHeight="1">
      <c r="A128" s="7">
        <v>110</v>
      </c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 ht="15.75" customHeight="1">
      <c r="A129" s="7">
        <v>111</v>
      </c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 ht="15.75" customHeight="1">
      <c r="A130" s="7">
        <v>112</v>
      </c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 ht="15.75" customHeight="1">
      <c r="A131" s="7">
        <v>113</v>
      </c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 ht="15.75" customHeight="1">
      <c r="A132" s="7">
        <v>114</v>
      </c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 ht="15.75" customHeight="1">
      <c r="A133" s="7">
        <v>115</v>
      </c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 ht="15.75" customHeight="1">
      <c r="A134" s="7">
        <v>116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 ht="15.75" customHeight="1">
      <c r="A135" s="7">
        <v>117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 ht="15.75" customHeight="1">
      <c r="A136" s="7">
        <v>118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 ht="15.75" customHeight="1">
      <c r="A137" s="7">
        <v>119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 ht="15.75" customHeight="1">
      <c r="A138" s="7">
        <v>120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 ht="15.75" customHeight="1">
      <c r="A139" s="7">
        <v>121</v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 ht="15.75" customHeight="1">
      <c r="A140" s="7">
        <v>122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 ht="15.75" customHeight="1">
      <c r="A141" s="7">
        <v>123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 ht="15.75" customHeight="1">
      <c r="A142" s="7">
        <v>124</v>
      </c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 ht="15.75" customHeight="1">
      <c r="A143" s="7">
        <v>125</v>
      </c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 ht="15.75" customHeight="1">
      <c r="A144" s="7">
        <v>126</v>
      </c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 ht="15.75" customHeight="1">
      <c r="A145" s="7">
        <v>127</v>
      </c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 ht="15.75" customHeight="1">
      <c r="A146" s="7">
        <v>128</v>
      </c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 ht="15.75" customHeight="1">
      <c r="A147" s="7">
        <v>129</v>
      </c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 ht="15.75" customHeight="1">
      <c r="A148" s="7">
        <v>130</v>
      </c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 ht="15.75" customHeight="1">
      <c r="A149" s="7">
        <v>131</v>
      </c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 ht="15.75" customHeight="1">
      <c r="A150" s="7">
        <v>132</v>
      </c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 ht="15.75" customHeight="1">
      <c r="A151" s="7">
        <v>133</v>
      </c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 ht="15.75" customHeight="1">
      <c r="A152" s="7">
        <v>134</v>
      </c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 ht="15.75" customHeight="1">
      <c r="A153" s="7">
        <v>135</v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 ht="15.75" customHeight="1">
      <c r="A154" s="7">
        <v>136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 ht="15.75" customHeight="1">
      <c r="A155" s="7">
        <v>137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 ht="15.75" customHeight="1">
      <c r="A156" s="7">
        <v>138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 ht="15.75" customHeight="1">
      <c r="A157" s="7">
        <v>139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 ht="15.75" customHeight="1">
      <c r="A158" s="7">
        <v>140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 ht="15.75" customHeight="1">
      <c r="A159" s="7">
        <v>141</v>
      </c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 ht="15.75" customHeight="1">
      <c r="A160" s="7">
        <v>142</v>
      </c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 ht="15.75" customHeight="1">
      <c r="A161" s="7">
        <v>143</v>
      </c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 ht="15.75" customHeight="1">
      <c r="A162" s="7">
        <v>144</v>
      </c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1:25" ht="15.75" customHeight="1">
      <c r="A163" s="7">
        <v>145</v>
      </c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 ht="15.75" customHeight="1">
      <c r="A164" s="7">
        <v>146</v>
      </c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 ht="15.75" customHeight="1">
      <c r="A165" s="7">
        <v>147</v>
      </c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 ht="15.75" customHeight="1">
      <c r="A166" s="7">
        <v>148</v>
      </c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 ht="15.75" customHeight="1">
      <c r="A167" s="7">
        <v>149</v>
      </c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 ht="15.75" customHeight="1">
      <c r="A168" s="7">
        <v>150</v>
      </c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spans="1:25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spans="1:25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1:25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1:25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spans="1: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spans="1:25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spans="1:25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spans="1:25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spans="1:25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1:25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spans="1:25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1:25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spans="1:25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spans="1:25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spans="1:2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spans="1:25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spans="1:25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1:25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1:25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1:25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spans="1:25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spans="1:25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spans="1:25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1:25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1:2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1:25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spans="1:25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spans="1:25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1:25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1:25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spans="1:25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1:25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spans="1:25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spans="1:25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spans="1:2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1:25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spans="1:25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5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spans="1:25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spans="1:25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spans="1:25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spans="1:25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spans="1:25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spans="1:25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spans="1:2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spans="1:25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spans="1:25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spans="1:25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spans="1:25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spans="1:25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spans="1:25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spans="1:25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spans="1:25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spans="1:25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spans="1:2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spans="1:25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spans="1:25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spans="1:25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spans="1:25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spans="1:25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spans="1:25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spans="1:25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spans="1:25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spans="1:25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spans="1:2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spans="1:25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spans="1:25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spans="1:25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spans="1:25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spans="1:25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spans="1:25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spans="1:25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spans="1:25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spans="1:25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spans="1:2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spans="1:25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spans="1:25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spans="1:25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spans="1:25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spans="1:25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spans="1:25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spans="1:25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spans="1:25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spans="1:25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spans="1:2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spans="1:25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spans="1:25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spans="1:25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spans="1:25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spans="1:25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spans="1:25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spans="1:25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spans="1:25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spans="1:25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spans="1:2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spans="1:25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spans="1:25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spans="1:25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spans="1:25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spans="1:25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spans="1:25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spans="1:25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spans="1:25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spans="1:25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spans="1: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spans="1:25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spans="1:25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spans="1:25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spans="1:25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spans="1:25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spans="1:25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spans="1:25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spans="1:25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spans="1:25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spans="1:2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spans="1:25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spans="1:25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spans="1:25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spans="1:25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spans="1:25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spans="1:25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spans="1:25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spans="1:25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spans="1:25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spans="1:2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spans="1:25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spans="1:25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spans="1:25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spans="1:25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spans="1:25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spans="1:25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spans="1:25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spans="1:25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spans="1:25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spans="1:2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spans="1:25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spans="1:25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spans="1:25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spans="1:25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spans="1:25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spans="1:25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spans="1:25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spans="1:25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spans="1:25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spans="1:2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spans="1:25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spans="1:25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spans="1:25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7:D17"/>
    <mergeCell ref="E17:I17"/>
    <mergeCell ref="A1:I2"/>
    <mergeCell ref="A3:I3"/>
    <mergeCell ref="A4:E4"/>
    <mergeCell ref="F4:I4"/>
    <mergeCell ref="A16:I16"/>
  </mergeCells>
  <dataValidations count="1">
    <dataValidation type="list" allowBlank="1" showErrorMessage="1" sqref="H19:H168" xr:uid="{00000000-0002-0000-0600-000000000000}">
      <formula1>"Pending,Sent,Followed Up,Responded"</formula1>
    </dataValidation>
  </dataValidations>
  <hyperlinks>
    <hyperlink ref="A1" location="OVERVIEW!A1" display="Morgan Stanley Application Tracker" xr:uid="{00000000-0004-0000-0600-000000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workbookViewId="0">
      <pane ySplit="2" topLeftCell="A3" activePane="bottomLeft" state="frozen"/>
      <selection pane="bottomLeft" activeCell="C32" sqref="C32"/>
    </sheetView>
  </sheetViews>
  <sheetFormatPr defaultColWidth="12.6328125" defaultRowHeight="15" customHeight="1"/>
  <cols>
    <col min="1" max="1" width="3.90625" customWidth="1"/>
    <col min="2" max="2" width="23.36328125" customWidth="1"/>
    <col min="3" max="3" width="29.26953125" customWidth="1"/>
    <col min="4" max="4" width="14.90625" customWidth="1"/>
    <col min="5" max="6" width="14" customWidth="1"/>
    <col min="7" max="8" width="12.26953125" customWidth="1"/>
    <col min="9" max="9" width="50.90625" customWidth="1"/>
  </cols>
  <sheetData>
    <row r="1" spans="1:25" ht="24.75" customHeight="1">
      <c r="A1" s="98" t="s">
        <v>561</v>
      </c>
      <c r="B1" s="72"/>
      <c r="C1" s="72"/>
      <c r="D1" s="72"/>
      <c r="E1" s="72"/>
      <c r="F1" s="72"/>
      <c r="G1" s="72"/>
      <c r="H1" s="72"/>
      <c r="I1" s="72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15.75" customHeight="1">
      <c r="A2" s="72"/>
      <c r="B2" s="72"/>
      <c r="C2" s="72"/>
      <c r="D2" s="72"/>
      <c r="E2" s="72"/>
      <c r="F2" s="72"/>
      <c r="G2" s="72"/>
      <c r="H2" s="72"/>
      <c r="I2" s="72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10.5" customHeight="1">
      <c r="A3" s="97"/>
      <c r="B3" s="72"/>
      <c r="C3" s="72"/>
      <c r="D3" s="72"/>
      <c r="E3" s="72"/>
      <c r="F3" s="72"/>
      <c r="G3" s="72"/>
      <c r="H3" s="72"/>
      <c r="I3" s="72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15.75" customHeight="1">
      <c r="A4" s="99" t="s">
        <v>564</v>
      </c>
      <c r="B4" s="72"/>
      <c r="C4" s="72"/>
      <c r="D4" s="72"/>
      <c r="E4" s="72"/>
      <c r="F4" s="100" t="s">
        <v>566</v>
      </c>
      <c r="G4" s="72"/>
      <c r="H4" s="72"/>
      <c r="I4" s="72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</row>
    <row r="5" spans="1:25" ht="15.75" customHeight="1">
      <c r="A5" s="51" t="s">
        <v>6</v>
      </c>
      <c r="B5" s="52" t="s">
        <v>567</v>
      </c>
      <c r="C5" s="52" t="s">
        <v>568</v>
      </c>
      <c r="D5" s="52" t="s">
        <v>569</v>
      </c>
      <c r="E5" s="52" t="s">
        <v>571</v>
      </c>
      <c r="F5" s="52" t="s">
        <v>572</v>
      </c>
      <c r="G5" s="52" t="s">
        <v>566</v>
      </c>
      <c r="H5" s="52" t="s">
        <v>573</v>
      </c>
      <c r="I5" s="52" t="s">
        <v>574</v>
      </c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</row>
    <row r="6" spans="1:25" ht="15.75" customHeight="1">
      <c r="A6" s="6">
        <v>1</v>
      </c>
      <c r="B6" s="7" t="s">
        <v>575</v>
      </c>
      <c r="C6" s="7" t="s">
        <v>576</v>
      </c>
      <c r="D6" s="7" t="s">
        <v>577</v>
      </c>
      <c r="E6" s="7" t="s">
        <v>578</v>
      </c>
      <c r="F6" s="7" t="s">
        <v>579</v>
      </c>
      <c r="G6" s="53" t="s">
        <v>580</v>
      </c>
      <c r="H6" s="7" t="s">
        <v>581</v>
      </c>
      <c r="I6" s="7" t="s">
        <v>582</v>
      </c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</row>
    <row r="7" spans="1:25" ht="15.75" customHeight="1">
      <c r="A7" s="6">
        <v>2</v>
      </c>
      <c r="B7" s="7" t="s">
        <v>575</v>
      </c>
      <c r="C7" s="7" t="s">
        <v>576</v>
      </c>
      <c r="D7" s="7" t="s">
        <v>577</v>
      </c>
      <c r="E7" s="7" t="s">
        <v>578</v>
      </c>
      <c r="F7" s="7" t="s">
        <v>579</v>
      </c>
      <c r="G7" s="54" t="s">
        <v>580</v>
      </c>
      <c r="H7" s="7" t="s">
        <v>581</v>
      </c>
      <c r="I7" s="7" t="s">
        <v>582</v>
      </c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ht="15.75" customHeight="1">
      <c r="A8" s="6">
        <v>3</v>
      </c>
      <c r="B8" s="7" t="s">
        <v>575</v>
      </c>
      <c r="C8" s="7" t="s">
        <v>576</v>
      </c>
      <c r="D8" s="7" t="s">
        <v>577</v>
      </c>
      <c r="E8" s="7" t="s">
        <v>578</v>
      </c>
      <c r="F8" s="7" t="s">
        <v>579</v>
      </c>
      <c r="G8" s="54" t="s">
        <v>580</v>
      </c>
      <c r="H8" s="7" t="s">
        <v>581</v>
      </c>
      <c r="I8" s="7" t="s">
        <v>582</v>
      </c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</row>
    <row r="9" spans="1:25" ht="15.75" customHeight="1">
      <c r="A9" s="6">
        <v>4</v>
      </c>
      <c r="B9" s="7" t="s">
        <v>575</v>
      </c>
      <c r="C9" s="7" t="s">
        <v>576</v>
      </c>
      <c r="D9" s="7" t="s">
        <v>577</v>
      </c>
      <c r="E9" s="7" t="s">
        <v>578</v>
      </c>
      <c r="F9" s="7" t="s">
        <v>579</v>
      </c>
      <c r="G9" s="54" t="s">
        <v>580</v>
      </c>
      <c r="H9" s="7" t="s">
        <v>581</v>
      </c>
      <c r="I9" s="7" t="s">
        <v>582</v>
      </c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</row>
    <row r="10" spans="1:25" ht="15.75" customHeight="1">
      <c r="A10" s="6">
        <v>5</v>
      </c>
      <c r="B10" s="7" t="s">
        <v>575</v>
      </c>
      <c r="C10" s="7" t="s">
        <v>576</v>
      </c>
      <c r="D10" s="7" t="s">
        <v>577</v>
      </c>
      <c r="E10" s="7" t="s">
        <v>578</v>
      </c>
      <c r="F10" s="7" t="s">
        <v>579</v>
      </c>
      <c r="G10" s="54" t="s">
        <v>580</v>
      </c>
      <c r="H10" s="7" t="s">
        <v>581</v>
      </c>
      <c r="I10" s="7" t="s">
        <v>582</v>
      </c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</row>
    <row r="11" spans="1:25" ht="15.75" customHeight="1">
      <c r="A11" s="6">
        <v>6</v>
      </c>
      <c r="B11" s="7" t="s">
        <v>575</v>
      </c>
      <c r="C11" s="7" t="s">
        <v>576</v>
      </c>
      <c r="D11" s="7" t="s">
        <v>577</v>
      </c>
      <c r="E11" s="7" t="s">
        <v>578</v>
      </c>
      <c r="F11" s="7" t="s">
        <v>579</v>
      </c>
      <c r="G11" s="54" t="s">
        <v>580</v>
      </c>
      <c r="H11" s="7" t="s">
        <v>581</v>
      </c>
      <c r="I11" s="7" t="s">
        <v>582</v>
      </c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</row>
    <row r="12" spans="1:25" ht="15.75" customHeight="1">
      <c r="A12" s="6">
        <v>7</v>
      </c>
      <c r="B12" s="7" t="s">
        <v>575</v>
      </c>
      <c r="C12" s="7" t="s">
        <v>576</v>
      </c>
      <c r="D12" s="7" t="s">
        <v>577</v>
      </c>
      <c r="E12" s="7" t="s">
        <v>578</v>
      </c>
      <c r="F12" s="7" t="s">
        <v>579</v>
      </c>
      <c r="G12" s="54" t="s">
        <v>580</v>
      </c>
      <c r="H12" s="7" t="s">
        <v>581</v>
      </c>
      <c r="I12" s="7" t="s">
        <v>582</v>
      </c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</row>
    <row r="13" spans="1:25" ht="15.75" customHeight="1">
      <c r="A13" s="6">
        <v>8</v>
      </c>
      <c r="B13" s="7" t="s">
        <v>575</v>
      </c>
      <c r="C13" s="7" t="s">
        <v>576</v>
      </c>
      <c r="D13" s="7" t="s">
        <v>577</v>
      </c>
      <c r="E13" s="7" t="s">
        <v>578</v>
      </c>
      <c r="F13" s="7" t="s">
        <v>579</v>
      </c>
      <c r="G13" s="54" t="s">
        <v>580</v>
      </c>
      <c r="H13" s="7" t="s">
        <v>581</v>
      </c>
      <c r="I13" s="7" t="s">
        <v>582</v>
      </c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</row>
    <row r="14" spans="1:25" ht="15.75" customHeight="1">
      <c r="A14" s="6">
        <v>9</v>
      </c>
      <c r="B14" s="7" t="s">
        <v>575</v>
      </c>
      <c r="C14" s="7" t="s">
        <v>576</v>
      </c>
      <c r="D14" s="7" t="s">
        <v>577</v>
      </c>
      <c r="E14" s="7" t="s">
        <v>578</v>
      </c>
      <c r="F14" s="7" t="s">
        <v>579</v>
      </c>
      <c r="G14" s="54" t="s">
        <v>580</v>
      </c>
      <c r="H14" s="7" t="s">
        <v>581</v>
      </c>
      <c r="I14" s="7" t="s">
        <v>582</v>
      </c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</row>
    <row r="15" spans="1:25" ht="15.75" customHeight="1">
      <c r="A15" s="6">
        <v>10</v>
      </c>
      <c r="B15" s="7" t="s">
        <v>575</v>
      </c>
      <c r="C15" s="7" t="s">
        <v>576</v>
      </c>
      <c r="D15" s="7" t="s">
        <v>577</v>
      </c>
      <c r="E15" s="7" t="s">
        <v>578</v>
      </c>
      <c r="F15" s="7" t="s">
        <v>579</v>
      </c>
      <c r="G15" s="54" t="s">
        <v>580</v>
      </c>
      <c r="H15" s="7" t="s">
        <v>581</v>
      </c>
      <c r="I15" s="7" t="s">
        <v>582</v>
      </c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</row>
    <row r="16" spans="1:25" ht="10.5" customHeight="1">
      <c r="A16" s="97"/>
      <c r="B16" s="72"/>
      <c r="C16" s="72"/>
      <c r="D16" s="72"/>
      <c r="E16" s="72"/>
      <c r="F16" s="72"/>
      <c r="G16" s="72"/>
      <c r="H16" s="72"/>
      <c r="I16" s="72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ht="15.75" customHeight="1">
      <c r="A17" s="99" t="s">
        <v>564</v>
      </c>
      <c r="B17" s="72"/>
      <c r="C17" s="72"/>
      <c r="D17" s="72"/>
      <c r="E17" s="100" t="s">
        <v>598</v>
      </c>
      <c r="F17" s="72"/>
      <c r="G17" s="72"/>
      <c r="H17" s="72"/>
      <c r="I17" s="72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</row>
    <row r="18" spans="1:25" ht="15.75" customHeight="1">
      <c r="A18" s="52" t="s">
        <v>6</v>
      </c>
      <c r="B18" s="52" t="s">
        <v>567</v>
      </c>
      <c r="C18" s="52" t="s">
        <v>568</v>
      </c>
      <c r="D18" s="52" t="s">
        <v>569</v>
      </c>
      <c r="E18" s="52" t="s">
        <v>600</v>
      </c>
      <c r="F18" s="55"/>
      <c r="G18" s="52" t="s">
        <v>602</v>
      </c>
      <c r="H18" s="52" t="s">
        <v>604</v>
      </c>
      <c r="I18" s="52" t="s">
        <v>605</v>
      </c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</row>
    <row r="19" spans="1:25" ht="15.75" customHeight="1">
      <c r="A19" s="6">
        <v>1</v>
      </c>
      <c r="B19" s="7" t="s">
        <v>575</v>
      </c>
      <c r="C19" s="7" t="s">
        <v>576</v>
      </c>
      <c r="D19" s="7" t="s">
        <v>577</v>
      </c>
      <c r="E19" s="56" t="s">
        <v>606</v>
      </c>
      <c r="F19" s="50"/>
      <c r="G19" s="7" t="s">
        <v>579</v>
      </c>
      <c r="H19" s="7" t="s">
        <v>610</v>
      </c>
      <c r="I19" s="7" t="s">
        <v>582</v>
      </c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</row>
    <row r="20" spans="1:25" ht="15.75" customHeight="1">
      <c r="A20" s="6">
        <v>2</v>
      </c>
      <c r="B20" s="7" t="s">
        <v>575</v>
      </c>
      <c r="C20" s="7" t="s">
        <v>576</v>
      </c>
      <c r="D20" s="7" t="s">
        <v>577</v>
      </c>
      <c r="E20" s="56" t="s">
        <v>606</v>
      </c>
      <c r="F20" s="50"/>
      <c r="G20" s="7" t="s">
        <v>579</v>
      </c>
      <c r="H20" s="7" t="s">
        <v>610</v>
      </c>
      <c r="I20" s="7" t="s">
        <v>582</v>
      </c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</row>
    <row r="21" spans="1:25" ht="15.75" customHeight="1">
      <c r="A21" s="6">
        <v>3</v>
      </c>
      <c r="B21" s="7" t="s">
        <v>575</v>
      </c>
      <c r="C21" s="7" t="s">
        <v>576</v>
      </c>
      <c r="D21" s="7" t="s">
        <v>577</v>
      </c>
      <c r="E21" s="56" t="s">
        <v>606</v>
      </c>
      <c r="F21" s="50"/>
      <c r="G21" s="7" t="s">
        <v>579</v>
      </c>
      <c r="H21" s="7" t="s">
        <v>610</v>
      </c>
      <c r="I21" s="7" t="s">
        <v>582</v>
      </c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</row>
    <row r="22" spans="1:25" ht="15.75" customHeight="1">
      <c r="A22" s="6">
        <v>4</v>
      </c>
      <c r="B22" s="7" t="s">
        <v>575</v>
      </c>
      <c r="C22" s="7" t="s">
        <v>576</v>
      </c>
      <c r="D22" s="7" t="s">
        <v>577</v>
      </c>
      <c r="E22" s="56" t="s">
        <v>606</v>
      </c>
      <c r="F22" s="50"/>
      <c r="G22" s="7" t="s">
        <v>579</v>
      </c>
      <c r="H22" s="7" t="s">
        <v>610</v>
      </c>
      <c r="I22" s="7" t="s">
        <v>582</v>
      </c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</row>
    <row r="23" spans="1:25" ht="15.75" customHeight="1">
      <c r="A23" s="6">
        <v>5</v>
      </c>
      <c r="B23" s="7" t="s">
        <v>575</v>
      </c>
      <c r="C23" s="7" t="s">
        <v>576</v>
      </c>
      <c r="D23" s="7" t="s">
        <v>577</v>
      </c>
      <c r="E23" s="56" t="s">
        <v>606</v>
      </c>
      <c r="F23" s="50"/>
      <c r="G23" s="7" t="s">
        <v>579</v>
      </c>
      <c r="H23" s="7" t="s">
        <v>610</v>
      </c>
      <c r="I23" s="7" t="s">
        <v>582</v>
      </c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</row>
    <row r="24" spans="1:25" ht="15.75" customHeight="1">
      <c r="A24" s="6">
        <v>6</v>
      </c>
      <c r="B24" s="7" t="s">
        <v>575</v>
      </c>
      <c r="C24" s="7" t="s">
        <v>576</v>
      </c>
      <c r="D24" s="7" t="s">
        <v>577</v>
      </c>
      <c r="E24" s="56" t="s">
        <v>606</v>
      </c>
      <c r="F24" s="50"/>
      <c r="G24" s="7" t="s">
        <v>579</v>
      </c>
      <c r="H24" s="7" t="s">
        <v>610</v>
      </c>
      <c r="I24" s="7" t="s">
        <v>582</v>
      </c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</row>
    <row r="25" spans="1:25" ht="15.75" customHeight="1">
      <c r="A25" s="6">
        <v>7</v>
      </c>
      <c r="B25" s="7" t="s">
        <v>575</v>
      </c>
      <c r="C25" s="7" t="s">
        <v>576</v>
      </c>
      <c r="D25" s="7" t="s">
        <v>577</v>
      </c>
      <c r="E25" s="56" t="s">
        <v>606</v>
      </c>
      <c r="F25" s="50"/>
      <c r="G25" s="7" t="s">
        <v>579</v>
      </c>
      <c r="H25" s="7" t="s">
        <v>610</v>
      </c>
      <c r="I25" s="7" t="s">
        <v>582</v>
      </c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</row>
    <row r="26" spans="1:25" ht="15.75" customHeight="1">
      <c r="A26" s="6">
        <v>8</v>
      </c>
      <c r="B26" s="7" t="s">
        <v>575</v>
      </c>
      <c r="C26" s="7" t="s">
        <v>576</v>
      </c>
      <c r="D26" s="7" t="s">
        <v>577</v>
      </c>
      <c r="E26" s="56" t="s">
        <v>606</v>
      </c>
      <c r="F26" s="50"/>
      <c r="G26" s="7" t="s">
        <v>579</v>
      </c>
      <c r="H26" s="7" t="s">
        <v>610</v>
      </c>
      <c r="I26" s="7" t="s">
        <v>582</v>
      </c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</row>
    <row r="27" spans="1:25" ht="15.75" customHeight="1">
      <c r="A27" s="6">
        <v>9</v>
      </c>
      <c r="B27" s="7" t="s">
        <v>575</v>
      </c>
      <c r="C27" s="7" t="s">
        <v>576</v>
      </c>
      <c r="D27" s="7" t="s">
        <v>577</v>
      </c>
      <c r="E27" s="56" t="s">
        <v>606</v>
      </c>
      <c r="F27" s="50"/>
      <c r="G27" s="7" t="s">
        <v>579</v>
      </c>
      <c r="H27" s="7" t="s">
        <v>610</v>
      </c>
      <c r="I27" s="7" t="s">
        <v>582</v>
      </c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</row>
    <row r="28" spans="1:25" ht="15.75" customHeight="1">
      <c r="A28" s="6">
        <v>10</v>
      </c>
      <c r="B28" s="7" t="s">
        <v>575</v>
      </c>
      <c r="C28" s="7" t="s">
        <v>576</v>
      </c>
      <c r="D28" s="7" t="s">
        <v>577</v>
      </c>
      <c r="E28" s="56" t="s">
        <v>606</v>
      </c>
      <c r="F28" s="50"/>
      <c r="G28" s="7" t="s">
        <v>579</v>
      </c>
      <c r="H28" s="7" t="s">
        <v>610</v>
      </c>
      <c r="I28" s="7" t="s">
        <v>582</v>
      </c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</row>
    <row r="29" spans="1:25" ht="10.5" customHeight="1">
      <c r="A29" s="97"/>
      <c r="B29" s="72"/>
      <c r="C29" s="72"/>
      <c r="D29" s="72"/>
      <c r="E29" s="72"/>
      <c r="F29" s="72"/>
      <c r="G29" s="72"/>
      <c r="H29" s="72"/>
      <c r="I29" s="72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ht="15.75" customHeight="1">
      <c r="A30" s="6">
        <v>11</v>
      </c>
      <c r="B30" s="7" t="s">
        <v>575</v>
      </c>
      <c r="C30" s="7" t="s">
        <v>576</v>
      </c>
      <c r="D30" s="7" t="s">
        <v>577</v>
      </c>
      <c r="E30" s="56" t="s">
        <v>606</v>
      </c>
      <c r="F30" s="50"/>
      <c r="G30" s="7" t="s">
        <v>579</v>
      </c>
      <c r="H30" s="7" t="s">
        <v>625</v>
      </c>
      <c r="I30" s="7" t="s">
        <v>582</v>
      </c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</row>
    <row r="31" spans="1:25" ht="15.75" customHeight="1">
      <c r="A31" s="6">
        <v>12</v>
      </c>
      <c r="B31" s="7" t="s">
        <v>575</v>
      </c>
      <c r="C31" s="7" t="s">
        <v>576</v>
      </c>
      <c r="D31" s="7" t="s">
        <v>577</v>
      </c>
      <c r="E31" s="56" t="s">
        <v>606</v>
      </c>
      <c r="F31" s="50"/>
      <c r="G31" s="7" t="s">
        <v>579</v>
      </c>
      <c r="H31" s="7" t="s">
        <v>625</v>
      </c>
      <c r="I31" s="7" t="s">
        <v>582</v>
      </c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</row>
    <row r="32" spans="1:25" ht="15.75" customHeight="1">
      <c r="A32" s="6">
        <v>13</v>
      </c>
      <c r="B32" s="7" t="s">
        <v>575</v>
      </c>
      <c r="C32" s="7" t="s">
        <v>576</v>
      </c>
      <c r="D32" s="7" t="s">
        <v>577</v>
      </c>
      <c r="E32" s="56" t="s">
        <v>606</v>
      </c>
      <c r="F32" s="50"/>
      <c r="G32" s="7" t="s">
        <v>579</v>
      </c>
      <c r="H32" s="7" t="s">
        <v>625</v>
      </c>
      <c r="I32" s="7" t="s">
        <v>582</v>
      </c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</row>
    <row r="33" spans="1:25" ht="15.75" customHeight="1">
      <c r="A33" s="6">
        <v>14</v>
      </c>
      <c r="B33" s="7" t="s">
        <v>575</v>
      </c>
      <c r="C33" s="7" t="s">
        <v>576</v>
      </c>
      <c r="D33" s="7" t="s">
        <v>577</v>
      </c>
      <c r="E33" s="56" t="s">
        <v>606</v>
      </c>
      <c r="F33" s="50"/>
      <c r="G33" s="7" t="s">
        <v>579</v>
      </c>
      <c r="H33" s="7" t="s">
        <v>625</v>
      </c>
      <c r="I33" s="7" t="s">
        <v>582</v>
      </c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</row>
    <row r="34" spans="1:25" ht="15.75" customHeight="1">
      <c r="A34" s="6">
        <v>15</v>
      </c>
      <c r="B34" s="7" t="s">
        <v>575</v>
      </c>
      <c r="C34" s="7" t="s">
        <v>576</v>
      </c>
      <c r="D34" s="7" t="s">
        <v>577</v>
      </c>
      <c r="E34" s="56" t="s">
        <v>606</v>
      </c>
      <c r="F34" s="50"/>
      <c r="G34" s="7" t="s">
        <v>579</v>
      </c>
      <c r="H34" s="7" t="s">
        <v>625</v>
      </c>
      <c r="I34" s="7" t="s">
        <v>582</v>
      </c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</row>
    <row r="35" spans="1:25" ht="15.75" customHeight="1">
      <c r="A35" s="6">
        <v>16</v>
      </c>
      <c r="B35" s="7" t="s">
        <v>575</v>
      </c>
      <c r="C35" s="7" t="s">
        <v>576</v>
      </c>
      <c r="D35" s="7" t="s">
        <v>577</v>
      </c>
      <c r="E35" s="56" t="s">
        <v>606</v>
      </c>
      <c r="F35" s="50"/>
      <c r="G35" s="7" t="s">
        <v>579</v>
      </c>
      <c r="H35" s="7" t="s">
        <v>625</v>
      </c>
      <c r="I35" s="7" t="s">
        <v>582</v>
      </c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</row>
    <row r="36" spans="1:25" ht="15.75" customHeight="1">
      <c r="A36" s="6">
        <v>17</v>
      </c>
      <c r="B36" s="7" t="s">
        <v>575</v>
      </c>
      <c r="C36" s="7" t="s">
        <v>576</v>
      </c>
      <c r="D36" s="7" t="s">
        <v>577</v>
      </c>
      <c r="E36" s="56" t="s">
        <v>606</v>
      </c>
      <c r="F36" s="50"/>
      <c r="G36" s="7" t="s">
        <v>579</v>
      </c>
      <c r="H36" s="7" t="s">
        <v>625</v>
      </c>
      <c r="I36" s="7" t="s">
        <v>582</v>
      </c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</row>
    <row r="37" spans="1:25" ht="15.75" customHeight="1">
      <c r="A37" s="6">
        <v>18</v>
      </c>
      <c r="B37" s="7" t="s">
        <v>575</v>
      </c>
      <c r="C37" s="7" t="s">
        <v>576</v>
      </c>
      <c r="D37" s="7" t="s">
        <v>577</v>
      </c>
      <c r="E37" s="56" t="s">
        <v>606</v>
      </c>
      <c r="F37" s="50"/>
      <c r="G37" s="7" t="s">
        <v>579</v>
      </c>
      <c r="H37" s="7" t="s">
        <v>625</v>
      </c>
      <c r="I37" s="7" t="s">
        <v>582</v>
      </c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</row>
    <row r="38" spans="1:25" ht="15.75" customHeight="1">
      <c r="A38" s="6">
        <v>19</v>
      </c>
      <c r="B38" s="7" t="s">
        <v>575</v>
      </c>
      <c r="C38" s="7" t="s">
        <v>576</v>
      </c>
      <c r="D38" s="7" t="s">
        <v>577</v>
      </c>
      <c r="E38" s="56" t="s">
        <v>606</v>
      </c>
      <c r="F38" s="50"/>
      <c r="G38" s="7" t="s">
        <v>579</v>
      </c>
      <c r="H38" s="7" t="s">
        <v>625</v>
      </c>
      <c r="I38" s="7" t="s">
        <v>582</v>
      </c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</row>
    <row r="39" spans="1:25" ht="15.75" customHeight="1">
      <c r="A39" s="6">
        <v>20</v>
      </c>
      <c r="B39" s="7" t="s">
        <v>575</v>
      </c>
      <c r="C39" s="7" t="s">
        <v>576</v>
      </c>
      <c r="D39" s="7" t="s">
        <v>577</v>
      </c>
      <c r="E39" s="56" t="s">
        <v>606</v>
      </c>
      <c r="F39" s="50"/>
      <c r="G39" s="7" t="s">
        <v>579</v>
      </c>
      <c r="H39" s="7" t="s">
        <v>625</v>
      </c>
      <c r="I39" s="7" t="s">
        <v>582</v>
      </c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</row>
    <row r="40" spans="1:25" ht="10.5" customHeight="1">
      <c r="A40" s="97"/>
      <c r="B40" s="72"/>
      <c r="C40" s="72"/>
      <c r="D40" s="72"/>
      <c r="E40" s="72"/>
      <c r="F40" s="72"/>
      <c r="G40" s="72"/>
      <c r="H40" s="72"/>
      <c r="I40" s="72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ht="15.75" customHeight="1">
      <c r="A41" s="6">
        <v>21</v>
      </c>
      <c r="B41" s="7" t="s">
        <v>575</v>
      </c>
      <c r="C41" s="7" t="s">
        <v>576</v>
      </c>
      <c r="D41" s="7" t="s">
        <v>577</v>
      </c>
      <c r="E41" s="56" t="s">
        <v>606</v>
      </c>
      <c r="F41" s="50"/>
      <c r="G41" s="7" t="s">
        <v>579</v>
      </c>
      <c r="H41" s="7" t="s">
        <v>641</v>
      </c>
      <c r="I41" s="7" t="s">
        <v>582</v>
      </c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</row>
    <row r="42" spans="1:25" ht="15.75" customHeight="1">
      <c r="A42" s="6">
        <v>22</v>
      </c>
      <c r="B42" s="7" t="s">
        <v>575</v>
      </c>
      <c r="C42" s="7" t="s">
        <v>576</v>
      </c>
      <c r="D42" s="7" t="s">
        <v>577</v>
      </c>
      <c r="E42" s="56" t="s">
        <v>606</v>
      </c>
      <c r="F42" s="50"/>
      <c r="G42" s="7" t="s">
        <v>579</v>
      </c>
      <c r="H42" s="7" t="s">
        <v>641</v>
      </c>
      <c r="I42" s="7" t="s">
        <v>582</v>
      </c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</row>
    <row r="43" spans="1:25" ht="15.75" customHeight="1">
      <c r="A43" s="6">
        <v>23</v>
      </c>
      <c r="B43" s="7" t="s">
        <v>575</v>
      </c>
      <c r="C43" s="7" t="s">
        <v>576</v>
      </c>
      <c r="D43" s="7" t="s">
        <v>577</v>
      </c>
      <c r="E43" s="56" t="s">
        <v>606</v>
      </c>
      <c r="F43" s="50"/>
      <c r="G43" s="7" t="s">
        <v>579</v>
      </c>
      <c r="H43" s="7" t="s">
        <v>641</v>
      </c>
      <c r="I43" s="7" t="s">
        <v>582</v>
      </c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</row>
    <row r="44" spans="1:25" ht="15.75" customHeight="1">
      <c r="A44" s="6">
        <v>24</v>
      </c>
      <c r="B44" s="7" t="s">
        <v>575</v>
      </c>
      <c r="C44" s="7" t="s">
        <v>576</v>
      </c>
      <c r="D44" s="7" t="s">
        <v>577</v>
      </c>
      <c r="E44" s="56" t="s">
        <v>606</v>
      </c>
      <c r="F44" s="50"/>
      <c r="G44" s="7" t="s">
        <v>579</v>
      </c>
      <c r="H44" s="7" t="s">
        <v>641</v>
      </c>
      <c r="I44" s="7" t="s">
        <v>582</v>
      </c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</row>
    <row r="45" spans="1:25" ht="15.75" customHeight="1">
      <c r="A45" s="6">
        <v>25</v>
      </c>
      <c r="B45" s="7" t="s">
        <v>575</v>
      </c>
      <c r="C45" s="7" t="s">
        <v>576</v>
      </c>
      <c r="D45" s="7" t="s">
        <v>577</v>
      </c>
      <c r="E45" s="56" t="s">
        <v>606</v>
      </c>
      <c r="F45" s="50"/>
      <c r="G45" s="7" t="s">
        <v>579</v>
      </c>
      <c r="H45" s="7" t="s">
        <v>641</v>
      </c>
      <c r="I45" s="7" t="s">
        <v>582</v>
      </c>
      <c r="J45" s="57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</row>
    <row r="46" spans="1:25" ht="15.75" customHeight="1">
      <c r="A46" s="6">
        <v>26</v>
      </c>
      <c r="B46" s="7" t="s">
        <v>575</v>
      </c>
      <c r="C46" s="7" t="s">
        <v>576</v>
      </c>
      <c r="D46" s="7" t="s">
        <v>577</v>
      </c>
      <c r="E46" s="56" t="s">
        <v>606</v>
      </c>
      <c r="F46" s="50"/>
      <c r="G46" s="7" t="s">
        <v>579</v>
      </c>
      <c r="H46" s="7" t="s">
        <v>641</v>
      </c>
      <c r="I46" s="7" t="s">
        <v>582</v>
      </c>
      <c r="J46" s="57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</row>
    <row r="47" spans="1:25" ht="15.75" customHeight="1">
      <c r="A47" s="6">
        <v>27</v>
      </c>
      <c r="B47" s="7" t="s">
        <v>575</v>
      </c>
      <c r="C47" s="7" t="s">
        <v>576</v>
      </c>
      <c r="D47" s="7" t="s">
        <v>577</v>
      </c>
      <c r="E47" s="56" t="s">
        <v>606</v>
      </c>
      <c r="F47" s="50"/>
      <c r="G47" s="7" t="s">
        <v>579</v>
      </c>
      <c r="H47" s="7" t="s">
        <v>641</v>
      </c>
      <c r="I47" s="7" t="s">
        <v>582</v>
      </c>
      <c r="J47" s="57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</row>
    <row r="48" spans="1:25" ht="15.75" customHeight="1">
      <c r="A48" s="6">
        <v>28</v>
      </c>
      <c r="B48" s="7" t="s">
        <v>575</v>
      </c>
      <c r="C48" s="7" t="s">
        <v>576</v>
      </c>
      <c r="D48" s="7" t="s">
        <v>577</v>
      </c>
      <c r="E48" s="56" t="s">
        <v>606</v>
      </c>
      <c r="F48" s="50"/>
      <c r="G48" s="7" t="s">
        <v>579</v>
      </c>
      <c r="H48" s="7" t="s">
        <v>641</v>
      </c>
      <c r="I48" s="7" t="s">
        <v>582</v>
      </c>
      <c r="J48" s="57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</row>
    <row r="49" spans="1:25" ht="15.75" customHeight="1">
      <c r="A49" s="6">
        <v>29</v>
      </c>
      <c r="B49" s="7" t="s">
        <v>575</v>
      </c>
      <c r="C49" s="7" t="s">
        <v>576</v>
      </c>
      <c r="D49" s="7" t="s">
        <v>577</v>
      </c>
      <c r="E49" s="56" t="s">
        <v>606</v>
      </c>
      <c r="F49" s="50"/>
      <c r="G49" s="7" t="s">
        <v>579</v>
      </c>
      <c r="H49" s="7" t="s">
        <v>641</v>
      </c>
      <c r="I49" s="7" t="s">
        <v>582</v>
      </c>
      <c r="J49" s="57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</row>
    <row r="50" spans="1:25" ht="15.75" customHeight="1">
      <c r="A50" s="6">
        <v>30</v>
      </c>
      <c r="B50" s="7" t="s">
        <v>575</v>
      </c>
      <c r="C50" s="7" t="s">
        <v>576</v>
      </c>
      <c r="D50" s="7" t="s">
        <v>577</v>
      </c>
      <c r="E50" s="56" t="s">
        <v>606</v>
      </c>
      <c r="F50" s="50"/>
      <c r="G50" s="7" t="s">
        <v>579</v>
      </c>
      <c r="H50" s="7" t="s">
        <v>641</v>
      </c>
      <c r="I50" s="7" t="s">
        <v>582</v>
      </c>
      <c r="J50" s="57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</row>
    <row r="51" spans="1:25" ht="10.5" customHeight="1">
      <c r="A51" s="97"/>
      <c r="B51" s="72"/>
      <c r="C51" s="72"/>
      <c r="D51" s="72"/>
      <c r="E51" s="72"/>
      <c r="F51" s="72"/>
      <c r="G51" s="72"/>
      <c r="H51" s="72"/>
      <c r="I51" s="72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ht="15.75" customHeight="1">
      <c r="A52" s="6">
        <v>31</v>
      </c>
      <c r="B52" s="7" t="s">
        <v>575</v>
      </c>
      <c r="C52" s="7" t="s">
        <v>576</v>
      </c>
      <c r="D52" s="7" t="s">
        <v>577</v>
      </c>
      <c r="E52" s="56" t="s">
        <v>606</v>
      </c>
      <c r="F52" s="50"/>
      <c r="G52" s="7" t="s">
        <v>579</v>
      </c>
      <c r="H52" s="7" t="s">
        <v>656</v>
      </c>
      <c r="I52" s="7" t="s">
        <v>582</v>
      </c>
      <c r="J52" s="57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</row>
    <row r="53" spans="1:25" ht="15.75" customHeight="1">
      <c r="A53" s="6">
        <v>32</v>
      </c>
      <c r="B53" s="7" t="s">
        <v>575</v>
      </c>
      <c r="C53" s="7" t="s">
        <v>576</v>
      </c>
      <c r="D53" s="7" t="s">
        <v>577</v>
      </c>
      <c r="E53" s="56" t="s">
        <v>606</v>
      </c>
      <c r="F53" s="50"/>
      <c r="G53" s="7" t="s">
        <v>579</v>
      </c>
      <c r="H53" s="7" t="s">
        <v>656</v>
      </c>
      <c r="I53" s="7" t="s">
        <v>582</v>
      </c>
      <c r="J53" s="57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</row>
    <row r="54" spans="1:25" ht="15.75" customHeight="1">
      <c r="A54" s="6">
        <v>33</v>
      </c>
      <c r="B54" s="7" t="s">
        <v>575</v>
      </c>
      <c r="C54" s="7" t="s">
        <v>576</v>
      </c>
      <c r="D54" s="7" t="s">
        <v>577</v>
      </c>
      <c r="E54" s="56" t="s">
        <v>606</v>
      </c>
      <c r="F54" s="50"/>
      <c r="G54" s="7" t="s">
        <v>579</v>
      </c>
      <c r="H54" s="7" t="s">
        <v>656</v>
      </c>
      <c r="I54" s="7" t="s">
        <v>582</v>
      </c>
      <c r="J54" s="57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</row>
    <row r="55" spans="1:25" ht="15.75" customHeight="1">
      <c r="A55" s="6">
        <v>34</v>
      </c>
      <c r="B55" s="7" t="s">
        <v>575</v>
      </c>
      <c r="C55" s="7" t="s">
        <v>576</v>
      </c>
      <c r="D55" s="7" t="s">
        <v>577</v>
      </c>
      <c r="E55" s="56" t="s">
        <v>606</v>
      </c>
      <c r="F55" s="50"/>
      <c r="G55" s="7" t="s">
        <v>579</v>
      </c>
      <c r="H55" s="7" t="s">
        <v>656</v>
      </c>
      <c r="I55" s="7" t="s">
        <v>582</v>
      </c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</row>
    <row r="56" spans="1:25" ht="15.75" customHeight="1">
      <c r="A56" s="6">
        <v>35</v>
      </c>
      <c r="B56" s="7" t="s">
        <v>575</v>
      </c>
      <c r="C56" s="7" t="s">
        <v>576</v>
      </c>
      <c r="D56" s="7" t="s">
        <v>577</v>
      </c>
      <c r="E56" s="56" t="s">
        <v>606</v>
      </c>
      <c r="F56" s="50"/>
      <c r="G56" s="7" t="s">
        <v>579</v>
      </c>
      <c r="H56" s="7" t="s">
        <v>656</v>
      </c>
      <c r="I56" s="7" t="s">
        <v>582</v>
      </c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</row>
    <row r="57" spans="1:25" ht="15.75" customHeight="1">
      <c r="A57" s="6">
        <v>36</v>
      </c>
      <c r="B57" s="7" t="s">
        <v>575</v>
      </c>
      <c r="D57" s="7" t="s">
        <v>577</v>
      </c>
      <c r="E57" s="56" t="s">
        <v>606</v>
      </c>
      <c r="F57" s="50"/>
      <c r="G57" s="7" t="s">
        <v>579</v>
      </c>
      <c r="H57" s="7" t="s">
        <v>656</v>
      </c>
      <c r="I57" s="7" t="s">
        <v>582</v>
      </c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</row>
    <row r="58" spans="1:25" ht="15.75" customHeight="1">
      <c r="A58" s="6">
        <v>37</v>
      </c>
      <c r="B58" s="7" t="s">
        <v>575</v>
      </c>
      <c r="C58" s="7" t="s">
        <v>576</v>
      </c>
      <c r="D58" s="7" t="s">
        <v>577</v>
      </c>
      <c r="E58" s="56" t="s">
        <v>606</v>
      </c>
      <c r="F58" s="50"/>
      <c r="G58" s="7" t="s">
        <v>579</v>
      </c>
      <c r="H58" s="7" t="s">
        <v>656</v>
      </c>
      <c r="I58" s="7" t="s">
        <v>582</v>
      </c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</row>
    <row r="59" spans="1:25" ht="15.75" customHeight="1">
      <c r="A59" s="6">
        <v>38</v>
      </c>
      <c r="B59" s="7" t="s">
        <v>575</v>
      </c>
      <c r="C59" s="7" t="s">
        <v>576</v>
      </c>
      <c r="D59" s="7" t="s">
        <v>577</v>
      </c>
      <c r="E59" s="56" t="s">
        <v>606</v>
      </c>
      <c r="F59" s="50"/>
      <c r="G59" s="7" t="s">
        <v>579</v>
      </c>
      <c r="H59" s="7" t="s">
        <v>656</v>
      </c>
      <c r="I59" s="7" t="s">
        <v>582</v>
      </c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</row>
    <row r="60" spans="1:25" ht="15.75" customHeight="1">
      <c r="A60" s="6">
        <v>39</v>
      </c>
      <c r="B60" s="7" t="s">
        <v>575</v>
      </c>
      <c r="C60" s="7" t="s">
        <v>576</v>
      </c>
      <c r="D60" s="7" t="s">
        <v>577</v>
      </c>
      <c r="E60" s="56" t="s">
        <v>606</v>
      </c>
      <c r="F60" s="50"/>
      <c r="G60" s="7" t="s">
        <v>579</v>
      </c>
      <c r="H60" s="7" t="s">
        <v>656</v>
      </c>
      <c r="I60" s="7" t="s">
        <v>582</v>
      </c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</row>
    <row r="61" spans="1:25" ht="15.75" customHeight="1">
      <c r="A61" s="6">
        <v>40</v>
      </c>
      <c r="B61" s="7" t="s">
        <v>575</v>
      </c>
      <c r="C61" s="7" t="s">
        <v>576</v>
      </c>
      <c r="D61" s="7" t="s">
        <v>577</v>
      </c>
      <c r="E61" s="56" t="s">
        <v>606</v>
      </c>
      <c r="F61" s="50"/>
      <c r="G61" s="7" t="s">
        <v>579</v>
      </c>
      <c r="H61" s="7" t="s">
        <v>656</v>
      </c>
      <c r="I61" s="7" t="s">
        <v>582</v>
      </c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</row>
    <row r="62" spans="1:25" ht="10.5" customHeight="1">
      <c r="A62" s="97"/>
      <c r="B62" s="72"/>
      <c r="C62" s="72"/>
      <c r="D62" s="72"/>
      <c r="E62" s="72"/>
      <c r="F62" s="72"/>
      <c r="G62" s="72"/>
      <c r="H62" s="72"/>
      <c r="I62" s="72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 ht="15.75" customHeight="1">
      <c r="A63" s="7">
        <v>41</v>
      </c>
      <c r="B63" s="50"/>
      <c r="C63" s="50"/>
      <c r="D63" s="50"/>
      <c r="E63" s="41"/>
      <c r="F63" s="50"/>
      <c r="G63" s="50"/>
      <c r="H63" s="7"/>
      <c r="I63" s="50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 ht="15.75" customHeight="1">
      <c r="A64" s="7">
        <v>42</v>
      </c>
      <c r="B64" s="50"/>
      <c r="C64" s="50"/>
      <c r="D64" s="50"/>
      <c r="E64" s="50"/>
      <c r="F64" s="50"/>
      <c r="G64" s="50"/>
      <c r="H64" s="7"/>
      <c r="I64" s="50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 ht="15.75" customHeight="1">
      <c r="A65" s="7">
        <v>43</v>
      </c>
      <c r="B65" s="50"/>
      <c r="C65" s="50"/>
      <c r="D65" s="50"/>
      <c r="E65" s="50"/>
      <c r="F65" s="50"/>
      <c r="G65" s="50"/>
      <c r="H65" s="7"/>
      <c r="I65" s="50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 ht="15.75" customHeight="1">
      <c r="A66" s="7">
        <v>44</v>
      </c>
      <c r="B66" s="50"/>
      <c r="C66" s="50"/>
      <c r="D66" s="50"/>
      <c r="E66" s="50"/>
      <c r="F66" s="50"/>
      <c r="G66" s="50"/>
      <c r="H66" s="7"/>
      <c r="I66" s="50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 ht="15.75" customHeight="1">
      <c r="A67" s="7">
        <v>45</v>
      </c>
      <c r="B67" s="7"/>
      <c r="C67" s="50"/>
      <c r="D67" s="50"/>
      <c r="E67" s="41"/>
      <c r="F67" s="50"/>
      <c r="G67" s="50"/>
      <c r="H67" s="7"/>
      <c r="I67" s="50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ht="15.75" customHeight="1">
      <c r="A68" s="7">
        <v>46</v>
      </c>
      <c r="B68" s="50"/>
      <c r="C68" s="50"/>
      <c r="D68" s="50"/>
      <c r="E68" s="41"/>
      <c r="F68" s="50"/>
      <c r="G68" s="50"/>
      <c r="H68" s="7"/>
      <c r="I68" s="50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ht="15.75" customHeight="1">
      <c r="A69" s="7">
        <v>47</v>
      </c>
      <c r="B69" s="50"/>
      <c r="C69" s="50"/>
      <c r="D69" s="50"/>
      <c r="E69" s="56"/>
      <c r="F69" s="50"/>
      <c r="G69" s="50"/>
      <c r="H69" s="7"/>
      <c r="I69" s="50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ht="15.75" customHeight="1">
      <c r="A70" s="7">
        <v>48</v>
      </c>
      <c r="B70" s="50"/>
      <c r="C70" s="50"/>
      <c r="D70" s="50"/>
      <c r="E70" s="56"/>
      <c r="F70" s="50"/>
      <c r="G70" s="50"/>
      <c r="H70" s="7"/>
      <c r="I70" s="50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 ht="15.75" customHeight="1">
      <c r="A71" s="7">
        <v>49</v>
      </c>
      <c r="B71" s="50"/>
      <c r="C71" s="50"/>
      <c r="D71" s="50"/>
      <c r="E71" s="56"/>
      <c r="F71" s="50"/>
      <c r="G71" s="50"/>
      <c r="H71" s="7"/>
      <c r="I71" s="50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 ht="15.75" customHeight="1">
      <c r="A72" s="7">
        <v>50</v>
      </c>
      <c r="B72" s="50"/>
      <c r="C72" s="50"/>
      <c r="D72" s="50"/>
      <c r="E72" s="56"/>
      <c r="F72" s="50"/>
      <c r="G72" s="50"/>
      <c r="H72" s="7"/>
      <c r="I72" s="50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 ht="15.75" customHeight="1">
      <c r="A73" s="7">
        <v>51</v>
      </c>
      <c r="B73" s="50"/>
      <c r="C73" s="50"/>
      <c r="D73" s="50"/>
      <c r="E73" s="56"/>
      <c r="F73" s="50"/>
      <c r="G73" s="50"/>
      <c r="H73" s="7"/>
      <c r="I73" s="50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 ht="15.75" customHeight="1">
      <c r="A74" s="7">
        <v>52</v>
      </c>
      <c r="B74" s="50"/>
      <c r="C74" s="50"/>
      <c r="D74" s="50"/>
      <c r="E74" s="56"/>
      <c r="F74" s="50"/>
      <c r="G74" s="50"/>
      <c r="H74" s="7"/>
      <c r="I74" s="50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 ht="15.75" customHeight="1">
      <c r="A75" s="7">
        <v>53</v>
      </c>
      <c r="B75" s="50"/>
      <c r="C75" s="50"/>
      <c r="D75" s="50"/>
      <c r="E75" s="50"/>
      <c r="F75" s="50"/>
      <c r="G75" s="50"/>
      <c r="H75" s="7"/>
      <c r="I75" s="50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 ht="15.75" customHeight="1">
      <c r="A76" s="7">
        <v>54</v>
      </c>
      <c r="B76" s="50"/>
      <c r="C76" s="50"/>
      <c r="D76" s="50"/>
      <c r="E76" s="41"/>
      <c r="F76" s="50"/>
      <c r="G76" s="5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ht="15.75" customHeight="1">
      <c r="A77" s="7">
        <v>55</v>
      </c>
      <c r="B77" s="50"/>
      <c r="C77" s="50"/>
      <c r="D77" s="50"/>
      <c r="E77" s="41"/>
      <c r="F77" s="50"/>
      <c r="G77" s="5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ht="15.75" customHeight="1">
      <c r="A78" s="7">
        <v>56</v>
      </c>
      <c r="B78" s="50"/>
      <c r="C78" s="50"/>
      <c r="D78" s="50"/>
      <c r="E78" s="41"/>
      <c r="F78" s="50"/>
      <c r="G78" s="5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ht="15.75" customHeight="1">
      <c r="A79" s="7">
        <v>57</v>
      </c>
      <c r="B79" s="50"/>
      <c r="C79" s="50"/>
      <c r="D79" s="50"/>
      <c r="E79" s="50"/>
      <c r="F79" s="50"/>
      <c r="G79" s="50"/>
      <c r="H79" s="7"/>
      <c r="I79" s="50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 ht="15.75" customHeight="1">
      <c r="A80" s="7">
        <v>58</v>
      </c>
      <c r="B80" s="50"/>
      <c r="C80" s="50"/>
      <c r="D80" s="50"/>
      <c r="E80" s="41"/>
      <c r="F80" s="50"/>
      <c r="G80" s="5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 ht="15.75" customHeight="1">
      <c r="A81" s="7">
        <v>59</v>
      </c>
      <c r="B81" s="50"/>
      <c r="C81" s="50"/>
      <c r="D81" s="50"/>
      <c r="E81" s="41"/>
      <c r="F81" s="50"/>
      <c r="G81" s="5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 ht="15.75" customHeight="1">
      <c r="A82" s="7">
        <v>60</v>
      </c>
      <c r="B82" s="50"/>
      <c r="C82" s="50"/>
      <c r="D82" s="50"/>
      <c r="E82" s="41"/>
      <c r="F82" s="50"/>
      <c r="G82" s="5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 ht="15.75" customHeight="1">
      <c r="A83" s="7">
        <v>61</v>
      </c>
      <c r="B83" s="7"/>
      <c r="C83" s="7"/>
      <c r="D83" s="7"/>
      <c r="E83" s="41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 ht="15.75" customHeight="1">
      <c r="A84" s="7">
        <v>62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 ht="15.75" customHeight="1">
      <c r="A85" s="7">
        <v>63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ht="15.75" customHeight="1">
      <c r="A86" s="7">
        <v>64</v>
      </c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ht="15.75" customHeight="1">
      <c r="A87" s="7">
        <v>65</v>
      </c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ht="15.75" customHeight="1">
      <c r="A88" s="7">
        <v>66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 ht="15.75" customHeight="1">
      <c r="A89" s="7">
        <v>67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 ht="15.75" customHeight="1">
      <c r="A90" s="7">
        <v>68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 ht="15.75" customHeight="1">
      <c r="A91" s="7">
        <v>69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 ht="15.75" customHeight="1">
      <c r="A92" s="7">
        <v>70</v>
      </c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 ht="15.75" customHeight="1">
      <c r="A93" s="7">
        <v>71</v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 ht="15.75" customHeight="1">
      <c r="A94" s="7">
        <v>72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ht="15.75" customHeight="1">
      <c r="A95" s="7">
        <v>73</v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ht="15.75" customHeight="1">
      <c r="A96" s="7">
        <v>74</v>
      </c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ht="15.75" customHeight="1">
      <c r="A97" s="7">
        <v>75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 ht="15.75" customHeight="1">
      <c r="A98" s="7">
        <v>76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 ht="15.75" customHeight="1">
      <c r="A99" s="7">
        <v>77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 ht="15.75" customHeight="1">
      <c r="A100" s="7">
        <v>78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 ht="15.75" customHeight="1">
      <c r="A101" s="7">
        <v>79</v>
      </c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 ht="15.75" customHeight="1">
      <c r="A102" s="7">
        <v>80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 ht="15.75" customHeight="1">
      <c r="A103" s="7">
        <v>81</v>
      </c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ht="15.75" customHeight="1">
      <c r="A104" s="7">
        <v>82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ht="15.75" customHeight="1">
      <c r="A105" s="7">
        <v>83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ht="15.75" customHeight="1">
      <c r="A106" s="7">
        <v>84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 ht="15.75" customHeight="1">
      <c r="A107" s="7">
        <v>85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 ht="15.75" customHeight="1">
      <c r="A108" s="7">
        <v>86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 ht="15.75" customHeight="1">
      <c r="A109" s="7">
        <v>87</v>
      </c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 ht="15.75" customHeight="1">
      <c r="A110" s="7">
        <v>88</v>
      </c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 ht="15.75" customHeight="1">
      <c r="A111" s="7">
        <v>89</v>
      </c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 ht="15.75" customHeight="1">
      <c r="A112" s="7">
        <v>90</v>
      </c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ht="15.75" customHeight="1">
      <c r="A113" s="7">
        <v>91</v>
      </c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ht="15.75" customHeight="1">
      <c r="A114" s="7">
        <v>92</v>
      </c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ht="15.75" customHeight="1">
      <c r="A115" s="7">
        <v>93</v>
      </c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 ht="15.75" customHeight="1">
      <c r="A116" s="7">
        <v>94</v>
      </c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 ht="15.75" customHeight="1">
      <c r="A117" s="7">
        <v>95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 ht="15.75" customHeight="1">
      <c r="A118" s="7">
        <v>96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 ht="15.75" customHeight="1">
      <c r="A119" s="7">
        <v>97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 ht="15.75" customHeight="1">
      <c r="A120" s="7">
        <v>98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 ht="15.75" customHeight="1">
      <c r="A121" s="7">
        <v>99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ht="15.75" customHeight="1">
      <c r="A122" s="7">
        <v>100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ht="15.75" customHeight="1">
      <c r="A123" s="7">
        <v>101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ht="15.75" customHeight="1">
      <c r="A124" s="7">
        <v>102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 ht="15.75" customHeight="1">
      <c r="A125" s="7">
        <v>103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 ht="15.75" customHeight="1">
      <c r="A126" s="7">
        <v>104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 ht="15.75" customHeight="1">
      <c r="A127" s="7">
        <v>105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 ht="15.75" customHeight="1">
      <c r="A128" s="7">
        <v>106</v>
      </c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 ht="15.75" customHeight="1">
      <c r="A129" s="7">
        <v>107</v>
      </c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 ht="15.75" customHeight="1">
      <c r="A130" s="7">
        <v>108</v>
      </c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 ht="15.75" customHeight="1">
      <c r="A131" s="7">
        <v>109</v>
      </c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 ht="15.75" customHeight="1">
      <c r="A132" s="7">
        <v>110</v>
      </c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 ht="15.75" customHeight="1">
      <c r="A133" s="7">
        <v>111</v>
      </c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 ht="15.75" customHeight="1">
      <c r="A134" s="7">
        <v>112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 ht="15.75" customHeight="1">
      <c r="A135" s="7">
        <v>113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 ht="15.75" customHeight="1">
      <c r="A136" s="7">
        <v>114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 ht="15.75" customHeight="1">
      <c r="A137" s="7">
        <v>115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 ht="15.75" customHeight="1">
      <c r="A138" s="7">
        <v>116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 ht="15.75" customHeight="1">
      <c r="A139" s="7">
        <v>117</v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 ht="15.75" customHeight="1">
      <c r="A140" s="7">
        <v>118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 ht="15.75" customHeight="1">
      <c r="A141" s="7">
        <v>119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 ht="15.75" customHeight="1">
      <c r="A142" s="7">
        <v>120</v>
      </c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 ht="15.75" customHeight="1">
      <c r="A143" s="7">
        <v>121</v>
      </c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 ht="15.75" customHeight="1">
      <c r="A144" s="7">
        <v>122</v>
      </c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 ht="15.75" customHeight="1">
      <c r="A145" s="7">
        <v>123</v>
      </c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 ht="15.75" customHeight="1">
      <c r="A146" s="7">
        <v>124</v>
      </c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 ht="15.75" customHeight="1">
      <c r="A147" s="7">
        <v>125</v>
      </c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 ht="15.75" customHeight="1">
      <c r="A148" s="7">
        <v>126</v>
      </c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 ht="15.75" customHeight="1">
      <c r="A149" s="7">
        <v>127</v>
      </c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 ht="15.75" customHeight="1">
      <c r="A150" s="7">
        <v>128</v>
      </c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 ht="15.75" customHeight="1">
      <c r="A151" s="7">
        <v>129</v>
      </c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 ht="15.75" customHeight="1">
      <c r="A152" s="7">
        <v>130</v>
      </c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 ht="15.75" customHeight="1">
      <c r="A153" s="7">
        <v>131</v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 ht="15.75" customHeight="1">
      <c r="A154" s="7">
        <v>132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 ht="15.75" customHeight="1">
      <c r="A155" s="7">
        <v>133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 ht="15.75" customHeight="1">
      <c r="A156" s="7">
        <v>134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 ht="15.75" customHeight="1">
      <c r="A157" s="7">
        <v>135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 ht="15.75" customHeight="1">
      <c r="A158" s="7">
        <v>136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 ht="15.75" customHeight="1">
      <c r="A159" s="7">
        <v>137</v>
      </c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 ht="15.75" customHeight="1">
      <c r="A160" s="7">
        <v>138</v>
      </c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 ht="15.75" customHeight="1">
      <c r="A161" s="7">
        <v>139</v>
      </c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 ht="15.75" customHeight="1">
      <c r="A162" s="7">
        <v>140</v>
      </c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1:25" ht="15.75" customHeight="1">
      <c r="A163" s="7">
        <v>141</v>
      </c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 ht="15.75" customHeight="1">
      <c r="A164" s="7">
        <v>142</v>
      </c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 ht="15.75" customHeight="1">
      <c r="A165" s="7">
        <v>143</v>
      </c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 ht="15.75" customHeight="1">
      <c r="A166" s="7">
        <v>144</v>
      </c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 ht="15.75" customHeight="1">
      <c r="A167" s="7">
        <v>145</v>
      </c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 ht="15.75" customHeight="1">
      <c r="A168" s="7">
        <v>146</v>
      </c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 ht="15.75" customHeight="1">
      <c r="A169" s="7">
        <v>147</v>
      </c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 ht="15.75" customHeight="1">
      <c r="A170" s="7">
        <v>148</v>
      </c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 ht="15.75" customHeight="1">
      <c r="A171" s="7">
        <v>149</v>
      </c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 ht="15.75" customHeight="1">
      <c r="A172" s="7">
        <v>150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spans="1:25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spans="1:25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1:25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1:25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spans="1: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spans="1:25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spans="1:25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spans="1:25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spans="1:25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1:25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spans="1:25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1:25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spans="1:25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spans="1:25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spans="1:2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spans="1:25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spans="1:25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1:25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1:25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1:25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spans="1:25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spans="1:25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spans="1:25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1:25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1:2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1:25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spans="1:25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spans="1:25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1:25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1:25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spans="1:25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1:25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spans="1:25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spans="1:25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spans="1:2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1:25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spans="1:25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5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spans="1:25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spans="1:25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spans="1:25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spans="1:25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spans="1:25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spans="1:25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spans="1:2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spans="1:25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spans="1:25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spans="1:25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spans="1:25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spans="1:25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spans="1:25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spans="1:25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spans="1:25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spans="1:25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spans="1:2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spans="1:25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spans="1:25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spans="1:25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spans="1:25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spans="1:25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spans="1:25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spans="1:25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spans="1:25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spans="1:25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spans="1:2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spans="1:25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spans="1:25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spans="1:25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spans="1:25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spans="1:25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spans="1:25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spans="1:25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spans="1:25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spans="1:25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spans="1:2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spans="1:25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spans="1:25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spans="1:25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spans="1:25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spans="1:25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spans="1:25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spans="1:25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spans="1:25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spans="1:25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spans="1:2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spans="1:25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spans="1:25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spans="1:25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spans="1:25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spans="1:25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spans="1:25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spans="1:25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spans="1:25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spans="1:25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spans="1:2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spans="1:25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spans="1:25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spans="1:25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spans="1:25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spans="1:25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spans="1:25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spans="1:25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spans="1:25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spans="1:25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spans="1: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spans="1:25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spans="1:25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spans="1:25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spans="1:25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spans="1:25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spans="1:25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spans="1:25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spans="1:25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spans="1:25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spans="1:2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spans="1:25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spans="1:25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spans="1:25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spans="1:25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spans="1:25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spans="1:25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spans="1:25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spans="1:25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spans="1:25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spans="1:2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spans="1:25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spans="1:25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spans="1:25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spans="1:25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spans="1:25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spans="1:25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spans="1:25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spans="1:25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spans="1:25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spans="1:2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spans="1:25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spans="1:25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spans="1:25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spans="1:25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spans="1:25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spans="1:25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spans="1:25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spans="1:25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spans="1:25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spans="1:2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spans="1:25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spans="1:25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spans="1:25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spans="1:25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spans="1:25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spans="1:25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spans="1:25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spans="1:25" ht="15.75" customHeight="1"/>
    <row r="374" spans="1:25" ht="15.75" customHeight="1"/>
    <row r="375" spans="1:25" ht="15.75" customHeight="1"/>
    <row r="376" spans="1:25" ht="15.75" customHeight="1"/>
    <row r="377" spans="1:25" ht="15.75" customHeight="1"/>
    <row r="378" spans="1:25" ht="15.75" customHeight="1"/>
    <row r="379" spans="1:25" ht="15.75" customHeight="1"/>
    <row r="380" spans="1:25" ht="15.75" customHeight="1"/>
    <row r="381" spans="1:25" ht="15.75" customHeight="1"/>
    <row r="382" spans="1:25" ht="15.75" customHeight="1"/>
    <row r="383" spans="1:25" ht="15.75" customHeight="1"/>
    <row r="384" spans="1:25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29:I29"/>
    <mergeCell ref="A40:I40"/>
    <mergeCell ref="A51:I51"/>
    <mergeCell ref="A62:I62"/>
    <mergeCell ref="A1:I2"/>
    <mergeCell ref="A3:I3"/>
    <mergeCell ref="A4:E4"/>
    <mergeCell ref="F4:I4"/>
    <mergeCell ref="A16:I16"/>
    <mergeCell ref="A17:D17"/>
    <mergeCell ref="E17:I17"/>
  </mergeCells>
  <dataValidations count="2">
    <dataValidation type="list" allowBlank="1" showErrorMessage="1" sqref="H19:H28 H30:H39 H41:H50 H52:H61" xr:uid="{00000000-0002-0000-0400-000000000000}">
      <formula1>"Pending,Sent,Followed Up,Responded"</formula1>
    </dataValidation>
    <dataValidation type="list" allowBlank="1" showErrorMessage="1" sqref="H63:H172" xr:uid="{00000000-0002-0000-0400-000001000000}">
      <formula1>"Pending,Sent,Followed Up,Responded,Done"</formula1>
    </dataValidation>
  </dataValidations>
  <hyperlinks>
    <hyperlink ref="A1" location="OVERVIEW!A1" display="Goldman Sachs Application Tracker" xr:uid="{00000000-0004-0000-0400-000000000000}"/>
    <hyperlink ref="E19" r:id="rId1" xr:uid="{00000000-0004-0000-0400-000001000000}"/>
    <hyperlink ref="E20" r:id="rId2" xr:uid="{00000000-0004-0000-0400-000002000000}"/>
    <hyperlink ref="E21" r:id="rId3" xr:uid="{00000000-0004-0000-0400-000003000000}"/>
    <hyperlink ref="E22" r:id="rId4" xr:uid="{00000000-0004-0000-0400-000004000000}"/>
    <hyperlink ref="E23" r:id="rId5" xr:uid="{00000000-0004-0000-0400-000005000000}"/>
    <hyperlink ref="E24" r:id="rId6" xr:uid="{00000000-0004-0000-0400-000006000000}"/>
    <hyperlink ref="E25" r:id="rId7" xr:uid="{00000000-0004-0000-0400-000007000000}"/>
    <hyperlink ref="E26" r:id="rId8" xr:uid="{00000000-0004-0000-0400-000008000000}"/>
    <hyperlink ref="E27" r:id="rId9" xr:uid="{00000000-0004-0000-0400-000009000000}"/>
    <hyperlink ref="E28" r:id="rId10" xr:uid="{00000000-0004-0000-0400-00000A000000}"/>
    <hyperlink ref="E30" r:id="rId11" xr:uid="{00000000-0004-0000-0400-00000B000000}"/>
    <hyperlink ref="E31" r:id="rId12" xr:uid="{00000000-0004-0000-0400-00000C000000}"/>
    <hyperlink ref="E32" r:id="rId13" xr:uid="{00000000-0004-0000-0400-00000D000000}"/>
    <hyperlink ref="E33" r:id="rId14" xr:uid="{00000000-0004-0000-0400-00000E000000}"/>
    <hyperlink ref="E34" r:id="rId15" xr:uid="{00000000-0004-0000-0400-00000F000000}"/>
    <hyperlink ref="E35" r:id="rId16" xr:uid="{00000000-0004-0000-0400-000010000000}"/>
    <hyperlink ref="E36" r:id="rId17" xr:uid="{00000000-0004-0000-0400-000011000000}"/>
    <hyperlink ref="E37" r:id="rId18" xr:uid="{00000000-0004-0000-0400-000012000000}"/>
    <hyperlink ref="E38" r:id="rId19" xr:uid="{00000000-0004-0000-0400-000013000000}"/>
    <hyperlink ref="E39" r:id="rId20" xr:uid="{00000000-0004-0000-0400-000014000000}"/>
    <hyperlink ref="E41" r:id="rId21" xr:uid="{00000000-0004-0000-0400-000015000000}"/>
    <hyperlink ref="E42" r:id="rId22" xr:uid="{00000000-0004-0000-0400-000016000000}"/>
    <hyperlink ref="E43" r:id="rId23" xr:uid="{00000000-0004-0000-0400-000017000000}"/>
    <hyperlink ref="E44" r:id="rId24" xr:uid="{00000000-0004-0000-0400-000018000000}"/>
    <hyperlink ref="E45" r:id="rId25" xr:uid="{00000000-0004-0000-0400-000019000000}"/>
    <hyperlink ref="E46" r:id="rId26" xr:uid="{00000000-0004-0000-0400-00001A000000}"/>
    <hyperlink ref="E47" r:id="rId27" xr:uid="{00000000-0004-0000-0400-00001B000000}"/>
    <hyperlink ref="E48" r:id="rId28" xr:uid="{00000000-0004-0000-0400-00001C000000}"/>
    <hyperlink ref="E49" r:id="rId29" xr:uid="{00000000-0004-0000-0400-00001D000000}"/>
    <hyperlink ref="E50" r:id="rId30" xr:uid="{00000000-0004-0000-0400-00001E000000}"/>
    <hyperlink ref="E52" r:id="rId31" xr:uid="{00000000-0004-0000-0400-00001F000000}"/>
    <hyperlink ref="E53" r:id="rId32" xr:uid="{00000000-0004-0000-0400-000020000000}"/>
    <hyperlink ref="E54" r:id="rId33" xr:uid="{00000000-0004-0000-0400-000021000000}"/>
    <hyperlink ref="E55" r:id="rId34" xr:uid="{00000000-0004-0000-0400-000022000000}"/>
    <hyperlink ref="E56" r:id="rId35" xr:uid="{00000000-0004-0000-0400-000023000000}"/>
    <hyperlink ref="E57" r:id="rId36" xr:uid="{00000000-0004-0000-0400-000024000000}"/>
    <hyperlink ref="E58" r:id="rId37" xr:uid="{00000000-0004-0000-0400-000025000000}"/>
    <hyperlink ref="E59" r:id="rId38" xr:uid="{00000000-0004-0000-0400-000026000000}"/>
    <hyperlink ref="E60" r:id="rId39" xr:uid="{00000000-0004-0000-0400-000027000000}"/>
    <hyperlink ref="E61" r:id="rId40" xr:uid="{00000000-0004-0000-0400-000028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Y1000"/>
  <sheetViews>
    <sheetView workbookViewId="0">
      <pane ySplit="2" topLeftCell="A3" activePane="bottomLeft" state="frozen"/>
      <selection pane="bottomLeft" activeCell="G28" sqref="G28"/>
    </sheetView>
  </sheetViews>
  <sheetFormatPr defaultColWidth="12.6328125" defaultRowHeight="15" customHeight="1"/>
  <cols>
    <col min="1" max="1" width="3.90625" customWidth="1"/>
    <col min="2" max="2" width="23.36328125" customWidth="1"/>
    <col min="3" max="3" width="29.26953125" customWidth="1"/>
    <col min="4" max="4" width="14.90625" customWidth="1"/>
    <col min="5" max="6" width="14" customWidth="1"/>
    <col min="7" max="8" width="12.26953125" customWidth="1"/>
    <col min="9" max="9" width="50.90625" customWidth="1"/>
  </cols>
  <sheetData>
    <row r="1" spans="1:25" ht="24.75" customHeight="1">
      <c r="A1" s="102" t="s">
        <v>719</v>
      </c>
      <c r="B1" s="72"/>
      <c r="C1" s="72"/>
      <c r="D1" s="72"/>
      <c r="E1" s="72"/>
      <c r="F1" s="72"/>
      <c r="G1" s="72"/>
      <c r="H1" s="72"/>
      <c r="I1" s="72"/>
      <c r="J1" s="7"/>
      <c r="K1" s="62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15.75" customHeight="1">
      <c r="A2" s="72"/>
      <c r="B2" s="72"/>
      <c r="C2" s="72"/>
      <c r="D2" s="72"/>
      <c r="E2" s="72"/>
      <c r="F2" s="72"/>
      <c r="G2" s="72"/>
      <c r="H2" s="72"/>
      <c r="I2" s="72"/>
      <c r="J2" s="7"/>
      <c r="K2" s="62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10.5" customHeight="1">
      <c r="A3" s="97"/>
      <c r="B3" s="72"/>
      <c r="C3" s="72"/>
      <c r="D3" s="72"/>
      <c r="E3" s="72"/>
      <c r="F3" s="72"/>
      <c r="G3" s="72"/>
      <c r="H3" s="72"/>
      <c r="I3" s="72"/>
      <c r="J3" s="7"/>
      <c r="K3" s="62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15.75" customHeight="1">
      <c r="A4" s="99" t="s">
        <v>564</v>
      </c>
      <c r="B4" s="72"/>
      <c r="C4" s="72"/>
      <c r="D4" s="72"/>
      <c r="E4" s="72"/>
      <c r="F4" s="100" t="s">
        <v>566</v>
      </c>
      <c r="G4" s="72"/>
      <c r="H4" s="72"/>
      <c r="I4" s="72"/>
      <c r="J4" s="63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5.75" customHeight="1">
      <c r="A5" s="51" t="s">
        <v>6</v>
      </c>
      <c r="B5" s="52" t="s">
        <v>567</v>
      </c>
      <c r="C5" s="52" t="s">
        <v>568</v>
      </c>
      <c r="D5" s="52" t="s">
        <v>569</v>
      </c>
      <c r="E5" s="52" t="s">
        <v>571</v>
      </c>
      <c r="F5" s="52" t="s">
        <v>572</v>
      </c>
      <c r="G5" s="52" t="s">
        <v>566</v>
      </c>
      <c r="H5" s="52" t="s">
        <v>573</v>
      </c>
      <c r="I5" s="52" t="s">
        <v>574</v>
      </c>
      <c r="J5" s="63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15.75" customHeight="1">
      <c r="A6" s="7">
        <v>1</v>
      </c>
      <c r="B6" s="7"/>
      <c r="C6" s="7"/>
      <c r="D6" s="7"/>
      <c r="E6" s="14"/>
      <c r="F6" s="14"/>
      <c r="G6" s="53"/>
      <c r="H6" s="7"/>
      <c r="I6" s="7"/>
      <c r="J6" s="63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15.75" customHeight="1">
      <c r="A7" s="7">
        <v>2</v>
      </c>
      <c r="B7" s="7"/>
      <c r="C7" s="7"/>
      <c r="D7" s="7"/>
      <c r="E7" s="14"/>
      <c r="F7" s="14"/>
      <c r="G7" s="53"/>
      <c r="H7" s="7"/>
      <c r="I7" s="7"/>
      <c r="J7" s="63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15.75" customHeight="1">
      <c r="A8" s="7">
        <v>3</v>
      </c>
      <c r="B8" s="7"/>
      <c r="C8" s="7"/>
      <c r="D8" s="7"/>
      <c r="E8" s="14"/>
      <c r="F8" s="14"/>
      <c r="G8" s="53"/>
      <c r="H8" s="7"/>
      <c r="I8" s="14"/>
      <c r="J8" s="63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5.75" customHeight="1">
      <c r="A9" s="7">
        <v>4</v>
      </c>
      <c r="B9" s="7"/>
      <c r="C9" s="7"/>
      <c r="D9" s="7"/>
      <c r="E9" s="14"/>
      <c r="F9" s="7"/>
      <c r="G9" s="53"/>
      <c r="H9" s="7"/>
      <c r="I9" s="7"/>
      <c r="J9" s="63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5.75" customHeight="1">
      <c r="A10" s="7">
        <v>5</v>
      </c>
      <c r="B10" s="7"/>
      <c r="C10" s="7"/>
      <c r="D10" s="7"/>
      <c r="E10" s="14"/>
      <c r="F10" s="7"/>
      <c r="G10" s="53"/>
      <c r="H10" s="7"/>
      <c r="I10" s="7"/>
      <c r="J10" s="63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5.75" customHeight="1">
      <c r="A11" s="7">
        <v>6</v>
      </c>
      <c r="B11" s="7"/>
      <c r="C11" s="7"/>
      <c r="D11" s="7"/>
      <c r="E11" s="14"/>
      <c r="F11" s="7"/>
      <c r="G11" s="53"/>
      <c r="H11" s="7"/>
      <c r="I11" s="7"/>
      <c r="J11" s="63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15.75" customHeight="1">
      <c r="A12" s="7">
        <v>7</v>
      </c>
      <c r="B12" s="7"/>
      <c r="C12" s="7"/>
      <c r="D12" s="7"/>
      <c r="E12" s="14"/>
      <c r="F12" s="7"/>
      <c r="G12" s="53"/>
      <c r="H12" s="7"/>
      <c r="I12" s="7"/>
      <c r="J12" s="63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15.75" customHeight="1">
      <c r="A13" s="7">
        <v>8</v>
      </c>
      <c r="B13" s="7"/>
      <c r="C13" s="7"/>
      <c r="D13" s="7"/>
      <c r="E13" s="14"/>
      <c r="F13" s="7"/>
      <c r="G13" s="53"/>
      <c r="H13" s="7"/>
      <c r="I13" s="7"/>
      <c r="J13" s="63"/>
      <c r="K13" s="64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15.75" customHeight="1">
      <c r="A14" s="7">
        <v>9</v>
      </c>
      <c r="B14" s="7"/>
      <c r="C14" s="7"/>
      <c r="D14" s="7"/>
      <c r="E14" s="14"/>
      <c r="F14" s="7"/>
      <c r="G14" s="60"/>
      <c r="H14" s="7"/>
      <c r="I14" s="7"/>
      <c r="J14" s="63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5.75" customHeight="1">
      <c r="A15" s="7">
        <v>10</v>
      </c>
      <c r="B15" s="7"/>
      <c r="C15" s="7"/>
      <c r="D15" s="7"/>
      <c r="E15" s="14"/>
      <c r="F15" s="7"/>
      <c r="G15" s="53"/>
      <c r="H15" s="7"/>
      <c r="I15" s="7"/>
      <c r="J15" s="63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0.5" customHeight="1">
      <c r="A16" s="97"/>
      <c r="B16" s="72"/>
      <c r="C16" s="72"/>
      <c r="D16" s="72"/>
      <c r="E16" s="72"/>
      <c r="F16" s="72"/>
      <c r="G16" s="72"/>
      <c r="H16" s="72"/>
      <c r="I16" s="72"/>
      <c r="J16" s="7"/>
      <c r="K16" s="62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ht="15.75" customHeight="1">
      <c r="A17" s="99" t="s">
        <v>564</v>
      </c>
      <c r="B17" s="72"/>
      <c r="C17" s="72"/>
      <c r="D17" s="72"/>
      <c r="E17" s="100" t="s">
        <v>598</v>
      </c>
      <c r="F17" s="72"/>
      <c r="G17" s="72"/>
      <c r="H17" s="72"/>
      <c r="I17" s="72"/>
      <c r="J17" s="7"/>
      <c r="K17" s="62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ht="15.75" customHeight="1">
      <c r="A18" s="52" t="s">
        <v>6</v>
      </c>
      <c r="B18" s="52" t="s">
        <v>567</v>
      </c>
      <c r="C18" s="52" t="s">
        <v>568</v>
      </c>
      <c r="D18" s="52" t="s">
        <v>569</v>
      </c>
      <c r="E18" s="52" t="s">
        <v>600</v>
      </c>
      <c r="F18" s="52"/>
      <c r="G18" s="52"/>
      <c r="H18" s="52" t="s">
        <v>604</v>
      </c>
      <c r="I18" s="52" t="s">
        <v>605</v>
      </c>
      <c r="J18" s="7"/>
      <c r="K18" s="62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ht="15.75" customHeight="1">
      <c r="A19" s="7">
        <v>1</v>
      </c>
      <c r="B19" s="7" t="s">
        <v>776</v>
      </c>
      <c r="C19" s="7"/>
      <c r="D19" s="7" t="s">
        <v>702</v>
      </c>
      <c r="E19" s="103" t="s">
        <v>798</v>
      </c>
      <c r="F19" s="7"/>
      <c r="G19" s="7"/>
      <c r="H19" s="7"/>
      <c r="I19" s="7" t="s">
        <v>777</v>
      </c>
      <c r="J19" s="7"/>
      <c r="K19" s="62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ht="15.75" customHeight="1">
      <c r="A20" s="7">
        <v>2</v>
      </c>
      <c r="B20" s="7" t="s">
        <v>778</v>
      </c>
      <c r="C20" s="7"/>
      <c r="D20" s="7" t="s">
        <v>702</v>
      </c>
      <c r="E20" s="103" t="s">
        <v>797</v>
      </c>
      <c r="F20" s="7"/>
      <c r="G20" s="7"/>
      <c r="H20" s="7"/>
      <c r="I20" s="7" t="s">
        <v>779</v>
      </c>
      <c r="J20" s="7"/>
      <c r="K20" s="62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ht="15.75" customHeight="1">
      <c r="A21" s="7">
        <v>3</v>
      </c>
      <c r="B21" s="7" t="s">
        <v>780</v>
      </c>
      <c r="C21" s="7"/>
      <c r="D21" s="7" t="s">
        <v>702</v>
      </c>
      <c r="E21" s="56" t="s">
        <v>781</v>
      </c>
      <c r="F21" s="7"/>
      <c r="G21" s="7"/>
      <c r="H21" s="7"/>
      <c r="I21" s="7" t="s">
        <v>782</v>
      </c>
      <c r="J21" s="7"/>
      <c r="K21" s="62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ht="15.75" customHeight="1">
      <c r="A22" s="6">
        <v>4</v>
      </c>
      <c r="B22" s="7" t="s">
        <v>784</v>
      </c>
      <c r="C22" s="7"/>
      <c r="D22" s="7" t="s">
        <v>785</v>
      </c>
      <c r="E22" s="7" t="s">
        <v>783</v>
      </c>
      <c r="F22" s="7"/>
      <c r="G22" s="7"/>
      <c r="H22" s="7"/>
      <c r="I22" s="7" t="s">
        <v>786</v>
      </c>
      <c r="J22" s="7"/>
      <c r="K22" s="62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ht="15.75" customHeight="1">
      <c r="A23" s="6">
        <v>5</v>
      </c>
      <c r="B23" s="7" t="s">
        <v>787</v>
      </c>
      <c r="C23" s="7"/>
      <c r="D23" s="7" t="s">
        <v>789</v>
      </c>
      <c r="E23" s="7" t="s">
        <v>788</v>
      </c>
      <c r="F23" s="7"/>
      <c r="G23" s="7"/>
      <c r="H23" s="7"/>
      <c r="I23" s="7" t="s">
        <v>793</v>
      </c>
      <c r="J23" s="7"/>
      <c r="K23" s="62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ht="15.75" customHeight="1">
      <c r="A24" s="6">
        <v>6</v>
      </c>
      <c r="B24" s="7" t="s">
        <v>790</v>
      </c>
      <c r="C24" s="7"/>
      <c r="D24" s="7" t="s">
        <v>789</v>
      </c>
      <c r="E24" s="41" t="s">
        <v>791</v>
      </c>
      <c r="F24" s="7"/>
      <c r="G24" s="7"/>
      <c r="H24" s="7"/>
      <c r="I24" s="7" t="s">
        <v>792</v>
      </c>
      <c r="J24" s="7"/>
      <c r="K24" s="62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ht="15.75" customHeight="1">
      <c r="A25" s="6">
        <v>7</v>
      </c>
      <c r="B25" s="7" t="s">
        <v>794</v>
      </c>
      <c r="C25" s="7"/>
      <c r="D25" s="7" t="s">
        <v>702</v>
      </c>
      <c r="E25" s="103" t="s">
        <v>795</v>
      </c>
      <c r="F25" s="7"/>
      <c r="G25" s="7"/>
      <c r="H25" s="7"/>
      <c r="I25" s="7" t="s">
        <v>796</v>
      </c>
      <c r="J25" s="7"/>
      <c r="K25" s="62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ht="15.75" customHeight="1">
      <c r="A26" s="6">
        <v>8</v>
      </c>
      <c r="B26" s="7"/>
      <c r="C26" s="7"/>
      <c r="D26" s="7"/>
      <c r="E26" s="41"/>
      <c r="F26" s="7"/>
      <c r="G26" s="7"/>
      <c r="H26" s="7"/>
      <c r="I26" s="7"/>
      <c r="J26" s="7"/>
      <c r="K26" s="62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 ht="15.75" customHeight="1">
      <c r="A27" s="6">
        <v>9</v>
      </c>
      <c r="B27" s="7"/>
      <c r="C27" s="7"/>
      <c r="D27" s="7"/>
      <c r="E27" s="41"/>
      <c r="F27" s="7"/>
      <c r="G27" s="7"/>
      <c r="H27" s="7"/>
      <c r="I27" s="7"/>
      <c r="J27" s="7"/>
      <c r="K27" s="62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ht="15.75" customHeight="1">
      <c r="A28" s="6">
        <v>10</v>
      </c>
      <c r="B28" s="7"/>
      <c r="C28" s="7"/>
      <c r="D28" s="7"/>
      <c r="E28" s="41"/>
      <c r="F28" s="7"/>
      <c r="G28" s="7"/>
      <c r="H28" s="7"/>
      <c r="I28" s="7"/>
      <c r="J28" s="7"/>
      <c r="K28" s="62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ht="15.75" customHeight="1">
      <c r="A29" s="6">
        <v>11</v>
      </c>
      <c r="B29" s="7"/>
      <c r="C29" s="7"/>
      <c r="D29" s="7"/>
      <c r="E29" s="41"/>
      <c r="F29" s="7"/>
      <c r="G29" s="7"/>
      <c r="H29" s="7"/>
      <c r="I29" s="7"/>
      <c r="J29" s="7"/>
      <c r="K29" s="62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ht="15.75" customHeight="1">
      <c r="A30" s="6">
        <v>12</v>
      </c>
      <c r="B30" s="7"/>
      <c r="C30" s="7"/>
      <c r="D30" s="7"/>
      <c r="E30" s="41"/>
      <c r="F30" s="7"/>
      <c r="G30" s="7"/>
      <c r="H30" s="7"/>
      <c r="I30" s="7"/>
      <c r="J30" s="7"/>
      <c r="K30" s="62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ht="15.75" customHeight="1">
      <c r="A31" s="6">
        <v>13</v>
      </c>
      <c r="B31" s="7"/>
      <c r="C31" s="7"/>
      <c r="D31" s="7"/>
      <c r="E31" s="41"/>
      <c r="F31" s="7"/>
      <c r="G31" s="7"/>
      <c r="H31" s="7"/>
      <c r="I31" s="7"/>
      <c r="J31" s="7"/>
      <c r="K31" s="62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ht="15.75" customHeight="1">
      <c r="A32" s="6">
        <v>14</v>
      </c>
      <c r="B32" s="7"/>
      <c r="C32" s="7"/>
      <c r="D32" s="7"/>
      <c r="E32" s="41"/>
      <c r="F32" s="7"/>
      <c r="G32" s="7"/>
      <c r="H32" s="7"/>
      <c r="I32" s="7"/>
      <c r="J32" s="7"/>
      <c r="K32" s="62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ht="15.75" customHeight="1">
      <c r="A33" s="6">
        <v>15</v>
      </c>
      <c r="B33" s="7"/>
      <c r="C33" s="7"/>
      <c r="D33" s="7"/>
      <c r="E33" s="41"/>
      <c r="F33" s="7"/>
      <c r="G33" s="7"/>
      <c r="H33" s="7"/>
      <c r="I33" s="7"/>
      <c r="J33" s="7"/>
      <c r="K33" s="62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ht="15.75" customHeight="1">
      <c r="A34" s="6">
        <v>16</v>
      </c>
      <c r="B34" s="7"/>
      <c r="C34" s="7"/>
      <c r="D34" s="7"/>
      <c r="E34" s="41"/>
      <c r="F34" s="7"/>
      <c r="G34" s="7"/>
      <c r="H34" s="7"/>
      <c r="I34" s="7"/>
      <c r="J34" s="7"/>
      <c r="K34" s="62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ht="15.75" customHeight="1">
      <c r="A35" s="6">
        <v>17</v>
      </c>
      <c r="B35" s="7"/>
      <c r="C35" s="7"/>
      <c r="D35" s="7"/>
      <c r="E35" s="41"/>
      <c r="F35" s="7"/>
      <c r="G35" s="7"/>
      <c r="H35" s="7"/>
      <c r="I35" s="7"/>
      <c r="J35" s="7"/>
      <c r="K35" s="62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ht="15.75" customHeight="1">
      <c r="A36" s="6">
        <v>18</v>
      </c>
      <c r="B36" s="7"/>
      <c r="C36" s="7"/>
      <c r="D36" s="7"/>
      <c r="E36" s="41"/>
      <c r="F36" s="7"/>
      <c r="G36" s="7"/>
      <c r="H36" s="7"/>
      <c r="I36" s="7"/>
      <c r="J36" s="7"/>
      <c r="K36" s="62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ht="15.75" customHeight="1">
      <c r="A37" s="6">
        <v>19</v>
      </c>
      <c r="B37" s="7"/>
      <c r="C37" s="7"/>
      <c r="D37" s="7"/>
      <c r="E37" s="56"/>
      <c r="F37" s="7"/>
      <c r="G37" s="7"/>
      <c r="H37" s="7"/>
      <c r="I37" s="7"/>
      <c r="J37" s="7"/>
      <c r="K37" s="62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ht="15.75" customHeight="1">
      <c r="A38" s="6">
        <v>20</v>
      </c>
      <c r="B38" s="7"/>
      <c r="C38" s="7"/>
      <c r="D38" s="7"/>
      <c r="E38" s="56"/>
      <c r="F38" s="7"/>
      <c r="G38" s="7"/>
      <c r="H38" s="7"/>
      <c r="I38" s="7"/>
      <c r="J38" s="7"/>
      <c r="K38" s="62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ht="15.75" customHeight="1">
      <c r="A39" s="6">
        <v>21</v>
      </c>
      <c r="B39" s="7"/>
      <c r="C39" s="7"/>
      <c r="D39" s="7"/>
      <c r="E39" s="56"/>
      <c r="F39" s="7"/>
      <c r="G39" s="7"/>
      <c r="H39" s="7"/>
      <c r="I39" s="7"/>
      <c r="J39" s="7"/>
      <c r="K39" s="62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ht="15.75" customHeight="1">
      <c r="A40" s="6">
        <v>22</v>
      </c>
      <c r="B40" s="7"/>
      <c r="C40" s="7"/>
      <c r="D40" s="7"/>
      <c r="E40" s="56"/>
      <c r="F40" s="7"/>
      <c r="G40" s="7"/>
      <c r="H40" s="7"/>
      <c r="I40" s="7"/>
      <c r="J40" s="7"/>
      <c r="K40" s="62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ht="15.75" customHeight="1">
      <c r="A41" s="6">
        <v>23</v>
      </c>
      <c r="B41" s="7"/>
      <c r="C41" s="7"/>
      <c r="D41" s="7"/>
      <c r="E41" s="41"/>
      <c r="F41" s="7"/>
      <c r="G41" s="7"/>
      <c r="H41" s="7"/>
      <c r="I41" s="7"/>
      <c r="J41" s="7"/>
      <c r="K41" s="62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ht="15.75" customHeight="1">
      <c r="A42" s="6">
        <v>24</v>
      </c>
      <c r="B42" s="7"/>
      <c r="C42" s="7"/>
      <c r="D42" s="7"/>
      <c r="E42" s="41"/>
      <c r="F42" s="7"/>
      <c r="G42" s="7"/>
      <c r="H42" s="7"/>
      <c r="I42" s="7"/>
      <c r="J42" s="7"/>
      <c r="K42" s="62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ht="15.75" customHeight="1">
      <c r="A43" s="6">
        <v>25</v>
      </c>
      <c r="B43" s="7"/>
      <c r="C43" s="7"/>
      <c r="D43" s="7"/>
      <c r="E43" s="41"/>
      <c r="F43" s="7"/>
      <c r="G43" s="7"/>
      <c r="H43" s="7"/>
      <c r="I43" s="7"/>
      <c r="J43" s="7"/>
      <c r="K43" s="62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ht="15.75" customHeight="1">
      <c r="A44" s="6">
        <v>26</v>
      </c>
      <c r="B44" s="7"/>
      <c r="C44" s="7"/>
      <c r="D44" s="7"/>
      <c r="E44" s="41"/>
      <c r="F44" s="7"/>
      <c r="G44" s="7"/>
      <c r="H44" s="7"/>
      <c r="I44" s="7"/>
      <c r="J44" s="7"/>
      <c r="K44" s="62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ht="15.75" customHeight="1">
      <c r="A45" s="6">
        <v>27</v>
      </c>
      <c r="B45" s="7"/>
      <c r="C45" s="7"/>
      <c r="D45" s="7"/>
      <c r="E45" s="41"/>
      <c r="F45" s="7"/>
      <c r="G45" s="7"/>
      <c r="H45" s="7"/>
      <c r="I45" s="7"/>
      <c r="J45" s="7"/>
      <c r="K45" s="62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ht="15.75" customHeight="1">
      <c r="A46" s="6">
        <v>28</v>
      </c>
      <c r="B46" s="7"/>
      <c r="C46" s="7"/>
      <c r="D46" s="7"/>
      <c r="E46" s="56"/>
      <c r="F46" s="7"/>
      <c r="G46" s="7"/>
      <c r="H46" s="7"/>
      <c r="I46" s="7"/>
      <c r="J46" s="7"/>
      <c r="K46" s="62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ht="15.75" customHeight="1">
      <c r="A47" s="6">
        <v>29</v>
      </c>
      <c r="B47" s="7"/>
      <c r="C47" s="7"/>
      <c r="D47" s="7"/>
      <c r="E47" s="56"/>
      <c r="F47" s="7"/>
      <c r="G47" s="7"/>
      <c r="H47" s="7"/>
      <c r="I47" s="7"/>
      <c r="J47" s="7"/>
      <c r="K47" s="62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ht="15.75" customHeight="1">
      <c r="A48" s="6">
        <v>30</v>
      </c>
      <c r="B48" s="7"/>
      <c r="C48" s="7"/>
      <c r="D48" s="7"/>
      <c r="E48" s="56"/>
      <c r="F48" s="7"/>
      <c r="G48" s="7"/>
      <c r="H48" s="7"/>
      <c r="I48" s="7"/>
      <c r="J48" s="7"/>
      <c r="K48" s="62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ht="15.75" customHeight="1">
      <c r="A49" s="6">
        <v>31</v>
      </c>
      <c r="B49" s="7"/>
      <c r="C49" s="7"/>
      <c r="D49" s="7"/>
      <c r="E49" s="56"/>
      <c r="F49" s="7"/>
      <c r="G49" s="7"/>
      <c r="H49" s="7"/>
      <c r="I49" s="7"/>
      <c r="J49" s="7"/>
      <c r="K49" s="62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ht="15.75" customHeight="1">
      <c r="A50" s="6">
        <v>32</v>
      </c>
      <c r="B50" s="7"/>
      <c r="C50" s="7"/>
      <c r="D50" s="7"/>
      <c r="E50" s="41"/>
      <c r="F50" s="7"/>
      <c r="G50" s="7"/>
      <c r="H50" s="7"/>
      <c r="I50" s="7"/>
      <c r="J50" s="7"/>
      <c r="K50" s="62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ht="15.75" customHeight="1">
      <c r="A51" s="6">
        <v>33</v>
      </c>
      <c r="B51" s="7"/>
      <c r="C51" s="7"/>
      <c r="D51" s="7"/>
      <c r="E51" s="41"/>
      <c r="F51" s="7"/>
      <c r="G51" s="7"/>
      <c r="H51" s="7"/>
      <c r="I51" s="7"/>
      <c r="J51" s="7"/>
      <c r="K51" s="62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ht="15.75" customHeight="1">
      <c r="A52" s="6">
        <v>34</v>
      </c>
      <c r="B52" s="7"/>
      <c r="C52" s="7"/>
      <c r="D52" s="7"/>
      <c r="E52" s="41"/>
      <c r="F52" s="7"/>
      <c r="G52" s="7"/>
      <c r="H52" s="7"/>
      <c r="I52" s="7"/>
      <c r="J52" s="7"/>
      <c r="K52" s="62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 ht="15.75" customHeight="1">
      <c r="A53" s="6">
        <v>35</v>
      </c>
      <c r="B53" s="7"/>
      <c r="C53" s="7"/>
      <c r="D53" s="7"/>
      <c r="E53" s="7"/>
      <c r="F53" s="7"/>
      <c r="G53" s="7"/>
      <c r="H53" s="7"/>
      <c r="I53" s="7"/>
      <c r="J53" s="7"/>
      <c r="K53" s="62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 ht="15.75" customHeight="1">
      <c r="A54" s="6">
        <v>36</v>
      </c>
      <c r="B54" s="7"/>
      <c r="C54" s="7"/>
      <c r="D54" s="7"/>
      <c r="E54" s="7"/>
      <c r="F54" s="7"/>
      <c r="G54" s="7"/>
      <c r="H54" s="7"/>
      <c r="I54" s="7"/>
      <c r="J54" s="7"/>
      <c r="K54" s="62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 ht="15.75" customHeight="1">
      <c r="A55" s="6">
        <v>37</v>
      </c>
      <c r="B55" s="7"/>
      <c r="C55" s="7"/>
      <c r="D55" s="7"/>
      <c r="E55" s="41"/>
      <c r="F55" s="7"/>
      <c r="G55" s="7"/>
      <c r="H55" s="7"/>
      <c r="I55" s="7"/>
      <c r="J55" s="7"/>
      <c r="K55" s="62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 ht="15.75" customHeight="1">
      <c r="A56" s="6">
        <v>38</v>
      </c>
      <c r="B56" s="7"/>
      <c r="C56" s="7"/>
      <c r="D56" s="7"/>
      <c r="E56" s="7"/>
      <c r="F56" s="7"/>
      <c r="G56" s="7"/>
      <c r="H56" s="7"/>
      <c r="I56" s="7"/>
      <c r="J56" s="7"/>
      <c r="K56" s="62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 ht="15.75" customHeight="1">
      <c r="A57" s="6">
        <v>39</v>
      </c>
      <c r="B57" s="7"/>
      <c r="C57" s="7"/>
      <c r="D57" s="7"/>
      <c r="E57" s="7"/>
      <c r="F57" s="7"/>
      <c r="G57" s="7"/>
      <c r="H57" s="7"/>
      <c r="I57" s="7"/>
      <c r="J57" s="7"/>
      <c r="K57" s="62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 ht="15.75" customHeight="1">
      <c r="A58" s="6">
        <v>40</v>
      </c>
      <c r="B58" s="7"/>
      <c r="C58" s="7"/>
      <c r="D58" s="7"/>
      <c r="E58" s="41"/>
      <c r="F58" s="7"/>
      <c r="G58" s="7"/>
      <c r="H58" s="7"/>
      <c r="I58" s="7"/>
      <c r="J58" s="7"/>
      <c r="K58" s="62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ht="15.75" customHeight="1">
      <c r="A59" s="6">
        <v>41</v>
      </c>
      <c r="B59" s="7"/>
      <c r="C59" s="7"/>
      <c r="D59" s="7"/>
      <c r="E59" s="41"/>
      <c r="F59" s="7"/>
      <c r="G59" s="7"/>
      <c r="H59" s="7"/>
      <c r="I59" s="7"/>
      <c r="J59" s="7"/>
      <c r="K59" s="62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ht="15.75" customHeight="1">
      <c r="A60" s="6">
        <v>42</v>
      </c>
      <c r="B60" s="7"/>
      <c r="C60" s="7"/>
      <c r="D60" s="7"/>
      <c r="E60" s="41"/>
      <c r="F60" s="7"/>
      <c r="G60" s="7"/>
      <c r="H60" s="7"/>
      <c r="I60" s="7"/>
      <c r="J60" s="7"/>
      <c r="K60" s="62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ht="15.75" customHeight="1">
      <c r="A61" s="6">
        <v>43</v>
      </c>
      <c r="B61" s="7"/>
      <c r="C61" s="7"/>
      <c r="D61" s="7"/>
      <c r="E61" s="41"/>
      <c r="F61" s="7"/>
      <c r="G61" s="7"/>
      <c r="H61" s="7"/>
      <c r="I61" s="7"/>
      <c r="J61" s="7"/>
      <c r="K61" s="62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 ht="15.75" customHeight="1">
      <c r="A62" s="6">
        <v>44</v>
      </c>
      <c r="B62" s="7"/>
      <c r="C62" s="7"/>
      <c r="D62" s="7"/>
      <c r="E62" s="41"/>
      <c r="F62" s="7"/>
      <c r="G62" s="7"/>
      <c r="H62" s="7"/>
      <c r="I62" s="7"/>
      <c r="J62" s="7"/>
      <c r="K62" s="62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 ht="15.75" customHeight="1">
      <c r="A63" s="6">
        <v>45</v>
      </c>
      <c r="B63" s="7"/>
      <c r="C63" s="7"/>
      <c r="D63" s="7"/>
      <c r="E63" s="41"/>
      <c r="F63" s="7"/>
      <c r="G63" s="7"/>
      <c r="H63" s="7"/>
      <c r="I63" s="7"/>
      <c r="J63" s="7"/>
      <c r="K63" s="62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 ht="15.75" customHeight="1">
      <c r="A64" s="6">
        <v>46</v>
      </c>
      <c r="B64" s="7"/>
      <c r="C64" s="7"/>
      <c r="D64" s="7"/>
      <c r="E64" s="7"/>
      <c r="F64" s="7"/>
      <c r="G64" s="7"/>
      <c r="H64" s="7"/>
      <c r="I64" s="7"/>
      <c r="J64" s="7"/>
      <c r="K64" s="62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 ht="15.75" customHeight="1">
      <c r="A65" s="6">
        <v>47</v>
      </c>
      <c r="B65" s="7"/>
      <c r="C65" s="7"/>
      <c r="D65" s="7"/>
      <c r="E65" s="41"/>
      <c r="F65" s="7"/>
      <c r="G65" s="7"/>
      <c r="H65" s="7"/>
      <c r="I65" s="7"/>
      <c r="J65" s="7"/>
      <c r="K65" s="62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 ht="15.75" customHeight="1">
      <c r="A66" s="6">
        <v>48</v>
      </c>
      <c r="B66" s="7"/>
      <c r="C66" s="7"/>
      <c r="D66" s="7"/>
      <c r="E66" s="41"/>
      <c r="F66" s="7"/>
      <c r="G66" s="7"/>
      <c r="H66" s="7"/>
      <c r="I66" s="7"/>
      <c r="J66" s="7"/>
      <c r="K66" s="62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 ht="15.75" customHeight="1">
      <c r="A67" s="6">
        <v>49</v>
      </c>
      <c r="B67" s="7"/>
      <c r="C67" s="7"/>
      <c r="D67" s="7"/>
      <c r="E67" s="41"/>
      <c r="F67" s="7"/>
      <c r="G67" s="7"/>
      <c r="H67" s="7"/>
      <c r="I67" s="7"/>
      <c r="J67" s="7"/>
      <c r="K67" s="62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ht="15.75" customHeight="1">
      <c r="A68" s="6">
        <v>50</v>
      </c>
      <c r="B68" s="7"/>
      <c r="C68" s="7"/>
      <c r="D68" s="7"/>
      <c r="E68" s="41"/>
      <c r="F68" s="7"/>
      <c r="G68" s="7"/>
      <c r="H68" s="7"/>
      <c r="I68" s="7"/>
      <c r="J68" s="7"/>
      <c r="K68" s="62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ht="15.75" customHeight="1">
      <c r="A69" s="6">
        <v>51</v>
      </c>
      <c r="B69" s="7"/>
      <c r="C69" s="7"/>
      <c r="D69" s="7"/>
      <c r="E69" s="41"/>
      <c r="F69" s="7"/>
      <c r="G69" s="7"/>
      <c r="H69" s="7"/>
      <c r="I69" s="7"/>
      <c r="J69" s="65"/>
      <c r="K69" s="62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ht="15.75" customHeight="1">
      <c r="A70" s="6">
        <v>52</v>
      </c>
      <c r="B70" s="7"/>
      <c r="C70" s="7"/>
      <c r="D70" s="7"/>
      <c r="E70" s="41"/>
      <c r="F70" s="7"/>
      <c r="G70" s="7"/>
      <c r="H70" s="7"/>
      <c r="I70" s="7"/>
      <c r="J70" s="65"/>
      <c r="K70" s="62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 ht="15.75" customHeight="1">
      <c r="A71" s="6">
        <v>53</v>
      </c>
      <c r="B71" s="7"/>
      <c r="C71" s="7"/>
      <c r="D71" s="7"/>
      <c r="E71" s="7"/>
      <c r="F71" s="7"/>
      <c r="G71" s="7"/>
      <c r="H71" s="7"/>
      <c r="I71" s="7"/>
      <c r="J71" s="65"/>
      <c r="K71" s="62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 ht="15.75" customHeight="1">
      <c r="A72" s="6">
        <v>54</v>
      </c>
      <c r="B72" s="7"/>
      <c r="C72" s="7"/>
      <c r="D72" s="7"/>
      <c r="E72" s="41"/>
      <c r="F72" s="7"/>
      <c r="G72" s="7"/>
      <c r="H72" s="7"/>
      <c r="I72" s="7"/>
      <c r="J72" s="65"/>
      <c r="K72" s="62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 ht="15.75" customHeight="1">
      <c r="A73" s="6">
        <v>55</v>
      </c>
      <c r="B73" s="7"/>
      <c r="C73" s="7"/>
      <c r="D73" s="7"/>
      <c r="E73" s="41"/>
      <c r="F73" s="7"/>
      <c r="G73" s="7"/>
      <c r="H73" s="7"/>
      <c r="I73" s="7"/>
      <c r="J73" s="65"/>
      <c r="K73" s="62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 ht="15.75" customHeight="1">
      <c r="A74" s="6">
        <v>56</v>
      </c>
      <c r="B74" s="7"/>
      <c r="C74" s="7"/>
      <c r="D74" s="7"/>
      <c r="E74" s="41"/>
      <c r="F74" s="7"/>
      <c r="G74" s="7"/>
      <c r="H74" s="7"/>
      <c r="I74" s="7"/>
      <c r="J74" s="65"/>
      <c r="K74" s="62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 ht="15.75" customHeight="1">
      <c r="A75" s="6">
        <v>57</v>
      </c>
      <c r="B75" s="7"/>
      <c r="C75" s="7"/>
      <c r="D75" s="7"/>
      <c r="E75" s="41"/>
      <c r="F75" s="7"/>
      <c r="G75" s="7"/>
      <c r="H75" s="7"/>
      <c r="I75" s="7"/>
      <c r="J75" s="65"/>
      <c r="K75" s="62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 ht="15.75" customHeight="1">
      <c r="A76" s="6">
        <v>58</v>
      </c>
      <c r="B76" s="7"/>
      <c r="C76" s="7"/>
      <c r="D76" s="7"/>
      <c r="E76" s="7"/>
      <c r="F76" s="7"/>
      <c r="G76" s="7"/>
      <c r="H76" s="7"/>
      <c r="I76" s="7"/>
      <c r="J76" s="65"/>
      <c r="K76" s="62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ht="15.75" customHeight="1">
      <c r="A77" s="6">
        <v>59</v>
      </c>
      <c r="B77" s="7"/>
      <c r="C77" s="7"/>
      <c r="D77" s="7"/>
      <c r="E77" s="7"/>
      <c r="F77" s="7"/>
      <c r="G77" s="7"/>
      <c r="H77" s="7"/>
      <c r="I77" s="7"/>
      <c r="J77" s="65"/>
      <c r="K77" s="62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ht="15.75" customHeight="1">
      <c r="A78" s="6">
        <v>60</v>
      </c>
      <c r="B78" s="7"/>
      <c r="C78" s="7"/>
      <c r="D78" s="7"/>
      <c r="E78" s="41"/>
      <c r="F78" s="7"/>
      <c r="G78" s="7"/>
      <c r="H78" s="7"/>
      <c r="I78" s="7"/>
      <c r="J78" s="65"/>
      <c r="K78" s="62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ht="15.75" customHeight="1">
      <c r="A79" s="6">
        <v>61</v>
      </c>
      <c r="B79" s="7"/>
      <c r="C79" s="7"/>
      <c r="D79" s="7"/>
      <c r="E79" s="41"/>
      <c r="F79" s="7"/>
      <c r="G79" s="7"/>
      <c r="H79" s="7"/>
      <c r="I79" s="7"/>
      <c r="J79" s="7"/>
      <c r="K79" s="62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 ht="15.75" customHeight="1">
      <c r="A80" s="6">
        <v>62</v>
      </c>
      <c r="B80" s="7"/>
      <c r="C80" s="7"/>
      <c r="D80" s="7"/>
      <c r="E80" s="41"/>
      <c r="F80" s="7"/>
      <c r="G80" s="7"/>
      <c r="H80" s="7"/>
      <c r="I80" s="7"/>
      <c r="J80" s="66"/>
      <c r="K80" s="62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 ht="15.75" customHeight="1">
      <c r="A81" s="6">
        <v>63</v>
      </c>
      <c r="B81" s="7"/>
      <c r="C81" s="7"/>
      <c r="D81" s="7"/>
      <c r="E81" s="41"/>
      <c r="F81" s="7"/>
      <c r="G81" s="7"/>
      <c r="H81" s="7"/>
      <c r="I81" s="7"/>
      <c r="J81" s="66"/>
      <c r="K81" s="62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 ht="15.75" customHeight="1">
      <c r="A82" s="6">
        <v>64</v>
      </c>
      <c r="B82" s="7"/>
      <c r="C82" s="7"/>
      <c r="D82" s="7"/>
      <c r="E82" s="41"/>
      <c r="F82" s="7"/>
      <c r="G82" s="7"/>
      <c r="H82" s="7"/>
      <c r="I82" s="7"/>
      <c r="J82" s="7"/>
      <c r="K82" s="62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 ht="15.75" customHeight="1">
      <c r="A83" s="6">
        <v>65</v>
      </c>
      <c r="B83" s="7"/>
      <c r="C83" s="7"/>
      <c r="D83" s="7"/>
      <c r="E83" s="41"/>
      <c r="F83" s="7"/>
      <c r="G83" s="7"/>
      <c r="H83" s="7"/>
      <c r="I83" s="7"/>
      <c r="J83" s="66"/>
      <c r="K83" s="62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 ht="15.75" customHeight="1">
      <c r="A84" s="6">
        <v>66</v>
      </c>
      <c r="B84" s="7"/>
      <c r="C84" s="7"/>
      <c r="D84" s="7"/>
      <c r="E84" s="41"/>
      <c r="F84" s="7"/>
      <c r="G84" s="7"/>
      <c r="H84" s="7"/>
      <c r="I84" s="7"/>
      <c r="J84" s="66"/>
      <c r="K84" s="62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 ht="15.75" customHeight="1">
      <c r="A85" s="6">
        <v>67</v>
      </c>
      <c r="B85" s="7"/>
      <c r="C85" s="7"/>
      <c r="D85" s="7"/>
      <c r="E85" s="41"/>
      <c r="F85" s="7"/>
      <c r="G85" s="7"/>
      <c r="H85" s="7"/>
      <c r="I85" s="7"/>
      <c r="J85" s="7"/>
      <c r="K85" s="62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ht="15.75" customHeight="1">
      <c r="A86" s="6">
        <v>68</v>
      </c>
      <c r="B86" s="7"/>
      <c r="C86" s="7"/>
      <c r="D86" s="7"/>
      <c r="E86" s="41"/>
      <c r="F86" s="7"/>
      <c r="G86" s="7"/>
      <c r="H86" s="7"/>
      <c r="I86" s="7"/>
      <c r="J86" s="7"/>
      <c r="K86" s="62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ht="15.75" customHeight="1">
      <c r="A87" s="6">
        <v>69</v>
      </c>
      <c r="B87" s="7"/>
      <c r="C87" s="7"/>
      <c r="D87" s="7"/>
      <c r="E87" s="41"/>
      <c r="F87" s="7"/>
      <c r="G87" s="7"/>
      <c r="H87" s="7"/>
      <c r="I87" s="7"/>
      <c r="J87" s="66"/>
      <c r="K87" s="62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ht="15.75" customHeight="1">
      <c r="A88" s="6">
        <v>70</v>
      </c>
      <c r="B88" s="7"/>
      <c r="C88" s="7"/>
      <c r="D88" s="7"/>
      <c r="E88" s="41"/>
      <c r="F88" s="7"/>
      <c r="G88" s="7"/>
      <c r="H88" s="7"/>
      <c r="I88" s="7"/>
      <c r="J88" s="7"/>
      <c r="K88" s="62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 ht="15.75" customHeight="1">
      <c r="A89" s="6">
        <v>71</v>
      </c>
      <c r="B89" s="7"/>
      <c r="C89" s="7"/>
      <c r="D89" s="7"/>
      <c r="E89" s="41"/>
      <c r="F89" s="7"/>
      <c r="G89" s="7"/>
      <c r="H89" s="7"/>
      <c r="I89" s="7"/>
      <c r="J89" s="66"/>
      <c r="K89" s="62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 ht="15.75" customHeight="1">
      <c r="A90" s="6">
        <v>72</v>
      </c>
      <c r="B90" s="7"/>
      <c r="C90" s="7"/>
      <c r="D90" s="7"/>
      <c r="E90" s="41"/>
      <c r="F90" s="7"/>
      <c r="G90" s="7"/>
      <c r="H90" s="7"/>
      <c r="I90" s="7"/>
      <c r="J90" s="66"/>
      <c r="K90" s="62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 ht="15.75" customHeight="1">
      <c r="A91" s="6">
        <v>73</v>
      </c>
      <c r="B91" s="7"/>
      <c r="C91" s="7"/>
      <c r="D91" s="7"/>
      <c r="E91" s="41"/>
      <c r="F91" s="7"/>
      <c r="G91" s="7"/>
      <c r="H91" s="7"/>
      <c r="I91" s="7"/>
      <c r="J91" s="67"/>
      <c r="K91" s="62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 ht="15.75" customHeight="1">
      <c r="A92" s="6">
        <v>74</v>
      </c>
      <c r="B92" s="7"/>
      <c r="C92" s="7"/>
      <c r="D92" s="7"/>
      <c r="E92" s="41"/>
      <c r="F92" s="7"/>
      <c r="G92" s="7"/>
      <c r="H92" s="7"/>
      <c r="I92" s="7"/>
      <c r="J92" s="66"/>
      <c r="K92" s="62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 ht="15.75" customHeight="1">
      <c r="A93" s="6">
        <v>75</v>
      </c>
      <c r="B93" s="7"/>
      <c r="C93" s="7"/>
      <c r="D93" s="7"/>
      <c r="E93" s="41"/>
      <c r="F93" s="7"/>
      <c r="G93" s="7"/>
      <c r="H93" s="7"/>
      <c r="I93" s="7"/>
      <c r="J93" s="66"/>
      <c r="K93" s="62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 ht="15.75" customHeight="1">
      <c r="A94" s="6">
        <v>76</v>
      </c>
      <c r="B94" s="7"/>
      <c r="C94" s="7"/>
      <c r="D94" s="7"/>
      <c r="E94" s="56"/>
      <c r="F94" s="7"/>
      <c r="G94" s="7"/>
      <c r="H94" s="7"/>
      <c r="I94" s="7"/>
      <c r="J94" s="67"/>
      <c r="K94" s="62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ht="15.75" customHeight="1">
      <c r="A95" s="6">
        <v>77</v>
      </c>
      <c r="B95" s="7"/>
      <c r="C95" s="7"/>
      <c r="D95" s="7"/>
      <c r="E95" s="56"/>
      <c r="F95" s="7"/>
      <c r="G95" s="7"/>
      <c r="H95" s="7"/>
      <c r="I95" s="7"/>
      <c r="J95" s="66"/>
      <c r="K95" s="62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ht="15.75" customHeight="1">
      <c r="A96" s="6">
        <v>78</v>
      </c>
      <c r="B96" s="7"/>
      <c r="C96" s="7"/>
      <c r="D96" s="7"/>
      <c r="E96" s="41"/>
      <c r="F96" s="50"/>
      <c r="G96" s="50"/>
      <c r="H96" s="7"/>
      <c r="I96" s="7"/>
      <c r="J96" s="7"/>
      <c r="K96" s="62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ht="15.75" customHeight="1">
      <c r="A97" s="6">
        <v>79</v>
      </c>
      <c r="B97" s="7"/>
      <c r="C97" s="7"/>
      <c r="D97" s="7"/>
      <c r="E97" s="41"/>
      <c r="F97" s="50"/>
      <c r="G97" s="50"/>
      <c r="H97" s="50"/>
      <c r="I97" s="7"/>
      <c r="J97" s="7"/>
      <c r="K97" s="62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 ht="15.75" customHeight="1">
      <c r="A98" s="6">
        <v>80</v>
      </c>
      <c r="B98" s="7"/>
      <c r="C98" s="7"/>
      <c r="D98" s="7"/>
      <c r="E98" s="41"/>
      <c r="F98" s="50"/>
      <c r="G98" s="50"/>
      <c r="H98" s="50"/>
      <c r="I98" s="7"/>
      <c r="J98" s="7"/>
      <c r="K98" s="62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 ht="15.75" customHeight="1">
      <c r="A99" s="6">
        <v>81</v>
      </c>
      <c r="B99" s="7"/>
      <c r="C99" s="7"/>
      <c r="D99" s="7"/>
      <c r="E99" s="41"/>
      <c r="F99" s="50"/>
      <c r="G99" s="50"/>
      <c r="H99" s="50"/>
      <c r="I99" s="7"/>
      <c r="J99" s="7"/>
      <c r="K99" s="62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 ht="15.75" customHeight="1">
      <c r="A100" s="6">
        <v>82</v>
      </c>
      <c r="B100" s="7"/>
      <c r="C100" s="7"/>
      <c r="D100" s="7"/>
      <c r="E100" s="41"/>
      <c r="F100" s="50"/>
      <c r="G100" s="50"/>
      <c r="H100" s="50"/>
      <c r="I100" s="7"/>
      <c r="J100" s="7"/>
      <c r="K100" s="62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 ht="15.75" customHeight="1">
      <c r="A101" s="6">
        <v>83</v>
      </c>
      <c r="B101" s="7"/>
      <c r="C101" s="7"/>
      <c r="D101" s="7"/>
      <c r="E101" s="41"/>
      <c r="F101" s="50"/>
      <c r="G101" s="50"/>
      <c r="H101" s="50"/>
      <c r="I101" s="7"/>
      <c r="J101" s="7"/>
      <c r="K101" s="62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 ht="15.75" customHeight="1">
      <c r="A102" s="6">
        <v>84</v>
      </c>
      <c r="B102" s="7"/>
      <c r="C102" s="7"/>
      <c r="D102" s="7"/>
      <c r="E102" s="41"/>
      <c r="F102" s="50"/>
      <c r="G102" s="50"/>
      <c r="H102" s="50"/>
      <c r="I102" s="7"/>
      <c r="J102" s="7"/>
      <c r="K102" s="62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 ht="15.75" customHeight="1">
      <c r="A103" s="6">
        <v>85</v>
      </c>
      <c r="B103" s="7"/>
      <c r="C103" s="7"/>
      <c r="D103" s="7"/>
      <c r="E103" s="41"/>
      <c r="F103" s="50"/>
      <c r="G103" s="50"/>
      <c r="H103" s="50"/>
      <c r="I103" s="7"/>
      <c r="J103" s="7"/>
      <c r="K103" s="62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ht="15.75" customHeight="1">
      <c r="A104" s="6">
        <v>86</v>
      </c>
      <c r="B104" s="7"/>
      <c r="C104" s="50"/>
      <c r="D104" s="7"/>
      <c r="E104" s="41"/>
      <c r="F104" s="50"/>
      <c r="G104" s="50"/>
      <c r="H104" s="50"/>
      <c r="I104" s="7"/>
      <c r="J104" s="7"/>
      <c r="K104" s="62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ht="15.75" customHeight="1">
      <c r="A105" s="6">
        <v>87</v>
      </c>
      <c r="B105" s="7"/>
      <c r="C105" s="50"/>
      <c r="D105" s="7"/>
      <c r="E105" s="41"/>
      <c r="F105" s="50"/>
      <c r="G105" s="50"/>
      <c r="H105" s="50"/>
      <c r="I105" s="7"/>
      <c r="J105" s="7"/>
      <c r="K105" s="62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ht="15.75" customHeight="1">
      <c r="A106" s="6">
        <v>88</v>
      </c>
      <c r="B106" s="7"/>
      <c r="C106" s="7"/>
      <c r="D106" s="7"/>
      <c r="E106" s="41"/>
      <c r="F106" s="50"/>
      <c r="G106" s="50"/>
      <c r="H106" s="50"/>
      <c r="I106" s="7"/>
      <c r="J106" s="7"/>
      <c r="K106" s="62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 ht="15.75" customHeight="1">
      <c r="A107" s="6">
        <v>89</v>
      </c>
      <c r="B107" s="7"/>
      <c r="C107" s="50"/>
      <c r="D107" s="7"/>
      <c r="E107" s="41"/>
      <c r="F107" s="50"/>
      <c r="G107" s="50"/>
      <c r="H107" s="50"/>
      <c r="I107" s="7"/>
      <c r="J107" s="7"/>
      <c r="K107" s="62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 ht="15.75" customHeight="1">
      <c r="A108" s="6">
        <v>90</v>
      </c>
      <c r="B108" s="7"/>
      <c r="C108" s="50"/>
      <c r="D108" s="7"/>
      <c r="E108" s="41"/>
      <c r="F108" s="50"/>
      <c r="G108" s="50"/>
      <c r="H108" s="50"/>
      <c r="I108" s="7"/>
      <c r="J108" s="7"/>
      <c r="K108" s="62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 ht="15.75" customHeight="1">
      <c r="A109" s="6">
        <v>91</v>
      </c>
      <c r="B109" s="7"/>
      <c r="C109" s="50"/>
      <c r="D109" s="7"/>
      <c r="E109" s="41"/>
      <c r="F109" s="50"/>
      <c r="G109" s="50"/>
      <c r="H109" s="50"/>
      <c r="I109" s="7"/>
      <c r="J109" s="7"/>
      <c r="K109" s="62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 ht="15.75" customHeight="1">
      <c r="A110" s="6">
        <v>92</v>
      </c>
      <c r="B110" s="7"/>
      <c r="C110" s="7"/>
      <c r="D110" s="7"/>
      <c r="E110" s="41"/>
      <c r="F110" s="50"/>
      <c r="G110" s="50"/>
      <c r="H110" s="50"/>
      <c r="I110" s="7"/>
      <c r="J110" s="7"/>
      <c r="K110" s="62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 ht="15.75" customHeight="1">
      <c r="A111" s="6">
        <v>93</v>
      </c>
      <c r="B111" s="7"/>
      <c r="C111" s="50"/>
      <c r="D111" s="7"/>
      <c r="E111" s="41"/>
      <c r="F111" s="50"/>
      <c r="G111" s="50"/>
      <c r="H111" s="50"/>
      <c r="I111" s="7"/>
      <c r="J111" s="7"/>
      <c r="K111" s="62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 ht="15.75" customHeight="1">
      <c r="A112" s="6">
        <v>94</v>
      </c>
      <c r="B112" s="7"/>
      <c r="C112" s="7"/>
      <c r="D112" s="7"/>
      <c r="E112" s="41"/>
      <c r="F112" s="50"/>
      <c r="G112" s="50"/>
      <c r="H112" s="50"/>
      <c r="I112" s="7"/>
      <c r="J112" s="7"/>
      <c r="K112" s="62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ht="15.75" customHeight="1">
      <c r="A113" s="6">
        <v>95</v>
      </c>
      <c r="B113" s="50"/>
      <c r="C113" s="50"/>
      <c r="D113" s="50"/>
      <c r="E113" s="41"/>
      <c r="F113" s="50"/>
      <c r="G113" s="50"/>
      <c r="H113" s="50"/>
      <c r="I113" s="50"/>
      <c r="J113" s="7"/>
      <c r="K113" s="62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ht="15.75" customHeight="1">
      <c r="A114" s="6">
        <v>96</v>
      </c>
      <c r="B114" s="50"/>
      <c r="C114" s="50"/>
      <c r="D114" s="50"/>
      <c r="E114" s="50"/>
      <c r="F114" s="50"/>
      <c r="G114" s="50"/>
      <c r="H114" s="50"/>
      <c r="I114" s="50"/>
      <c r="J114" s="7"/>
      <c r="K114" s="62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ht="15.75" customHeight="1">
      <c r="A115" s="6">
        <v>97</v>
      </c>
      <c r="B115" s="50"/>
      <c r="C115" s="50"/>
      <c r="D115" s="50"/>
      <c r="E115" s="41"/>
      <c r="F115" s="50"/>
      <c r="G115" s="50"/>
      <c r="H115" s="50"/>
      <c r="I115" s="7"/>
      <c r="J115" s="7"/>
      <c r="K115" s="62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 ht="15.75" customHeight="1">
      <c r="A116" s="6">
        <v>98</v>
      </c>
      <c r="B116" s="7"/>
      <c r="C116" s="50"/>
      <c r="D116" s="50"/>
      <c r="E116" s="41"/>
      <c r="F116" s="50"/>
      <c r="G116" s="50"/>
      <c r="H116" s="50"/>
      <c r="I116" s="7"/>
      <c r="J116" s="7"/>
      <c r="K116" s="62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 ht="15.75" customHeight="1">
      <c r="A117" s="6">
        <v>99</v>
      </c>
      <c r="B117" s="7"/>
      <c r="C117" s="7"/>
      <c r="D117" s="7"/>
      <c r="E117" s="41"/>
      <c r="F117" s="7"/>
      <c r="G117" s="7"/>
      <c r="H117" s="7"/>
      <c r="I117" s="7"/>
      <c r="J117" s="7"/>
      <c r="K117" s="62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 ht="15.75" customHeight="1">
      <c r="A118" s="6">
        <v>100</v>
      </c>
      <c r="B118" s="7"/>
      <c r="C118" s="7"/>
      <c r="D118" s="7"/>
      <c r="E118" s="7"/>
      <c r="F118" s="7"/>
      <c r="G118" s="7"/>
      <c r="H118" s="7"/>
      <c r="I118" s="7"/>
      <c r="J118" s="7"/>
      <c r="K118" s="62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 ht="15.75" customHeight="1">
      <c r="A119" s="6">
        <v>101</v>
      </c>
      <c r="B119" s="7"/>
      <c r="C119" s="7"/>
      <c r="D119" s="7"/>
      <c r="E119" s="41"/>
      <c r="F119" s="7"/>
      <c r="G119" s="7"/>
      <c r="H119" s="7"/>
      <c r="I119" s="7"/>
      <c r="J119" s="7"/>
      <c r="K119" s="62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 ht="15.75" customHeight="1">
      <c r="A120" s="6">
        <v>102</v>
      </c>
      <c r="B120" s="7"/>
      <c r="C120" s="7"/>
      <c r="D120" s="7"/>
      <c r="E120" s="41"/>
      <c r="F120" s="7"/>
      <c r="G120" s="7"/>
      <c r="H120" s="7"/>
      <c r="I120" s="7"/>
      <c r="J120" s="7"/>
      <c r="K120" s="62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 ht="15.75" customHeight="1">
      <c r="A121" s="6">
        <v>103</v>
      </c>
      <c r="B121" s="7"/>
      <c r="C121" s="7"/>
      <c r="D121" s="7"/>
      <c r="E121" s="41"/>
      <c r="F121" s="7"/>
      <c r="G121" s="7"/>
      <c r="H121" s="7"/>
      <c r="I121" s="7"/>
      <c r="J121" s="7"/>
      <c r="K121" s="62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ht="15.75" customHeight="1">
      <c r="A122" s="6">
        <v>104</v>
      </c>
      <c r="B122" s="7"/>
      <c r="C122" s="7"/>
      <c r="D122" s="7"/>
      <c r="E122" s="41"/>
      <c r="F122" s="7"/>
      <c r="G122" s="7"/>
      <c r="H122" s="7"/>
      <c r="I122" s="7"/>
      <c r="J122" s="7"/>
      <c r="K122" s="62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ht="15.75" customHeight="1">
      <c r="A123" s="6">
        <v>105</v>
      </c>
      <c r="B123" s="7"/>
      <c r="C123" s="7"/>
      <c r="D123" s="7"/>
      <c r="E123" s="41"/>
      <c r="F123" s="7"/>
      <c r="G123" s="7"/>
      <c r="H123" s="7"/>
      <c r="I123" s="7"/>
      <c r="J123" s="7"/>
      <c r="K123" s="62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ht="15.75" customHeight="1">
      <c r="A124" s="6">
        <v>106</v>
      </c>
      <c r="B124" s="7"/>
      <c r="C124" s="7"/>
      <c r="D124" s="7"/>
      <c r="E124" s="41"/>
      <c r="F124" s="7"/>
      <c r="G124" s="7"/>
      <c r="H124" s="7"/>
      <c r="I124" s="7"/>
      <c r="J124" s="7"/>
      <c r="K124" s="62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 ht="15.75" customHeight="1">
      <c r="A125" s="6">
        <v>107</v>
      </c>
      <c r="B125" s="7"/>
      <c r="C125" s="7"/>
      <c r="D125" s="7"/>
      <c r="E125" s="41"/>
      <c r="F125" s="7"/>
      <c r="G125" s="7"/>
      <c r="H125" s="7"/>
      <c r="I125" s="7"/>
      <c r="J125" s="7"/>
      <c r="K125" s="62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 ht="15.75" customHeight="1">
      <c r="A126" s="6">
        <v>108</v>
      </c>
      <c r="B126" s="7"/>
      <c r="C126" s="7"/>
      <c r="D126" s="7"/>
      <c r="E126" s="41"/>
      <c r="F126" s="7"/>
      <c r="G126" s="7"/>
      <c r="H126" s="7"/>
      <c r="I126" s="7"/>
      <c r="J126" s="7"/>
      <c r="K126" s="62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 ht="15.75" customHeight="1">
      <c r="A127" s="6">
        <v>109</v>
      </c>
      <c r="B127" s="7"/>
      <c r="C127" s="7"/>
      <c r="D127" s="7"/>
      <c r="E127" s="41"/>
      <c r="F127" s="7"/>
      <c r="G127" s="7"/>
      <c r="H127" s="7"/>
      <c r="I127" s="7"/>
      <c r="J127" s="7"/>
      <c r="K127" s="62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 ht="15.75" customHeight="1">
      <c r="A128" s="6">
        <v>110</v>
      </c>
      <c r="B128" s="7"/>
      <c r="C128" s="7"/>
      <c r="D128" s="7"/>
      <c r="E128" s="41"/>
      <c r="F128" s="7"/>
      <c r="G128" s="7"/>
      <c r="H128" s="7"/>
      <c r="I128" s="7"/>
      <c r="J128" s="7"/>
      <c r="K128" s="62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 ht="15.75" customHeight="1">
      <c r="A129" s="6">
        <v>111</v>
      </c>
      <c r="B129" s="7"/>
      <c r="C129" s="7"/>
      <c r="D129" s="7"/>
      <c r="E129" s="41"/>
      <c r="F129" s="7"/>
      <c r="G129" s="7"/>
      <c r="H129" s="7"/>
      <c r="I129" s="7"/>
      <c r="J129" s="7"/>
      <c r="K129" s="62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 ht="15.75" customHeight="1">
      <c r="A130" s="6">
        <v>112</v>
      </c>
      <c r="B130" s="7"/>
      <c r="C130" s="7"/>
      <c r="D130" s="7"/>
      <c r="E130" s="41"/>
      <c r="F130" s="7"/>
      <c r="G130" s="7"/>
      <c r="H130" s="7"/>
      <c r="I130" s="7"/>
      <c r="J130" s="7"/>
      <c r="K130" s="62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 ht="15.75" customHeight="1">
      <c r="A131" s="6">
        <v>113</v>
      </c>
      <c r="B131" s="7"/>
      <c r="C131" s="7"/>
      <c r="D131" s="7"/>
      <c r="E131" s="41"/>
      <c r="F131" s="7"/>
      <c r="G131" s="7"/>
      <c r="H131" s="7"/>
      <c r="I131" s="7"/>
      <c r="J131" s="7"/>
      <c r="K131" s="62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 ht="15.75" customHeight="1">
      <c r="A132" s="6">
        <v>114</v>
      </c>
      <c r="B132" s="7"/>
      <c r="C132" s="7"/>
      <c r="D132" s="7"/>
      <c r="E132" s="41"/>
      <c r="F132" s="7"/>
      <c r="G132" s="7"/>
      <c r="H132" s="7"/>
      <c r="I132" s="7"/>
      <c r="J132" s="7"/>
      <c r="K132" s="62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 ht="15.75" customHeight="1">
      <c r="A133" s="6">
        <v>115</v>
      </c>
      <c r="B133" s="7"/>
      <c r="C133" s="7"/>
      <c r="D133" s="7"/>
      <c r="E133" s="41"/>
      <c r="F133" s="7"/>
      <c r="G133" s="7"/>
      <c r="H133" s="7"/>
      <c r="I133" s="7"/>
      <c r="J133" s="7"/>
      <c r="K133" s="62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 ht="15.75" customHeight="1">
      <c r="A134" s="6">
        <v>116</v>
      </c>
      <c r="B134" s="7"/>
      <c r="C134" s="7"/>
      <c r="D134" s="7"/>
      <c r="E134" s="41"/>
      <c r="F134" s="7"/>
      <c r="G134" s="7"/>
      <c r="H134" s="7"/>
      <c r="I134" s="7"/>
      <c r="J134" s="7"/>
      <c r="K134" s="62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 ht="15.75" customHeight="1">
      <c r="A135" s="6">
        <v>117</v>
      </c>
      <c r="B135" s="7"/>
      <c r="C135" s="7"/>
      <c r="D135" s="7"/>
      <c r="E135" s="41"/>
      <c r="F135" s="7"/>
      <c r="G135" s="7"/>
      <c r="H135" s="7"/>
      <c r="I135" s="7"/>
      <c r="J135" s="7"/>
      <c r="K135" s="62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 ht="15.75" customHeight="1">
      <c r="A136" s="6">
        <v>118</v>
      </c>
      <c r="B136" s="7"/>
      <c r="C136" s="7"/>
      <c r="D136" s="7"/>
      <c r="E136" s="41"/>
      <c r="F136" s="7"/>
      <c r="G136" s="7"/>
      <c r="H136" s="7"/>
      <c r="I136" s="7"/>
      <c r="J136" s="7"/>
      <c r="K136" s="62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 ht="15.75" customHeight="1">
      <c r="A137" s="6">
        <v>119</v>
      </c>
      <c r="B137" s="7"/>
      <c r="C137" s="7"/>
      <c r="D137" s="7"/>
      <c r="E137" s="41"/>
      <c r="F137" s="7"/>
      <c r="G137" s="7"/>
      <c r="H137" s="7"/>
      <c r="I137" s="7"/>
      <c r="J137" s="7"/>
      <c r="K137" s="62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 ht="15.75" customHeight="1">
      <c r="A138" s="6">
        <v>120</v>
      </c>
      <c r="B138" s="7"/>
      <c r="C138" s="7"/>
      <c r="D138" s="7"/>
      <c r="E138" s="41"/>
      <c r="F138" s="7"/>
      <c r="G138" s="7"/>
      <c r="H138" s="7"/>
      <c r="I138" s="7"/>
      <c r="J138" s="7"/>
      <c r="K138" s="62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 ht="15.75" customHeight="1">
      <c r="A139" s="6">
        <v>121</v>
      </c>
      <c r="B139" s="7"/>
      <c r="C139" s="7"/>
      <c r="D139" s="7"/>
      <c r="E139" s="7"/>
      <c r="F139" s="7"/>
      <c r="G139" s="7"/>
      <c r="H139" s="7"/>
      <c r="I139" s="7"/>
      <c r="J139" s="7"/>
      <c r="K139" s="62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 ht="15.75" customHeight="1">
      <c r="A140" s="6">
        <v>122</v>
      </c>
      <c r="B140" s="7"/>
      <c r="C140" s="7"/>
      <c r="D140" s="7"/>
      <c r="E140" s="41"/>
      <c r="F140" s="7"/>
      <c r="G140" s="7"/>
      <c r="H140" s="7"/>
      <c r="I140" s="7"/>
      <c r="J140" s="7"/>
      <c r="K140" s="62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 ht="15.75" customHeight="1">
      <c r="A141" s="6">
        <v>123</v>
      </c>
      <c r="B141" s="7"/>
      <c r="C141" s="7"/>
      <c r="D141" s="7"/>
      <c r="E141" s="41"/>
      <c r="F141" s="7"/>
      <c r="G141" s="7"/>
      <c r="H141" s="7"/>
      <c r="I141" s="7"/>
      <c r="J141" s="7"/>
      <c r="K141" s="62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 ht="15.75" customHeight="1">
      <c r="A142" s="6">
        <v>124</v>
      </c>
      <c r="B142" s="7"/>
      <c r="C142" s="7"/>
      <c r="D142" s="7"/>
      <c r="E142" s="7"/>
      <c r="F142" s="7"/>
      <c r="G142" s="7"/>
      <c r="H142" s="7"/>
      <c r="I142" s="7"/>
      <c r="J142" s="7"/>
      <c r="K142" s="62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 ht="15.75" customHeight="1">
      <c r="A143" s="6">
        <v>125</v>
      </c>
      <c r="B143" s="7"/>
      <c r="C143" s="7"/>
      <c r="D143" s="7"/>
      <c r="E143" s="7"/>
      <c r="F143" s="7"/>
      <c r="G143" s="7"/>
      <c r="H143" s="7"/>
      <c r="I143" s="7"/>
      <c r="J143" s="7"/>
      <c r="K143" s="62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 ht="15.75" customHeight="1">
      <c r="A144" s="6">
        <v>126</v>
      </c>
      <c r="B144" s="7"/>
      <c r="C144" s="7"/>
      <c r="D144" s="7"/>
      <c r="E144" s="7"/>
      <c r="F144" s="7"/>
      <c r="G144" s="7"/>
      <c r="H144" s="7"/>
      <c r="I144" s="7"/>
      <c r="J144" s="7"/>
      <c r="K144" s="62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 ht="15.75" customHeight="1">
      <c r="A145" s="6">
        <v>127</v>
      </c>
      <c r="B145" s="7"/>
      <c r="C145" s="7"/>
      <c r="D145" s="7"/>
      <c r="E145" s="7"/>
      <c r="F145" s="7"/>
      <c r="G145" s="7"/>
      <c r="H145" s="7"/>
      <c r="I145" s="7"/>
      <c r="J145" s="7"/>
      <c r="K145" s="62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 ht="15.75" customHeight="1">
      <c r="A146" s="6">
        <v>128</v>
      </c>
      <c r="B146" s="7"/>
      <c r="C146" s="7"/>
      <c r="D146" s="7"/>
      <c r="E146" s="7"/>
      <c r="F146" s="7"/>
      <c r="G146" s="7"/>
      <c r="H146" s="7"/>
      <c r="I146" s="7"/>
      <c r="J146" s="7"/>
      <c r="K146" s="62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 ht="15.75" customHeight="1">
      <c r="A147" s="6">
        <v>129</v>
      </c>
      <c r="B147" s="7"/>
      <c r="C147" s="7"/>
      <c r="D147" s="7"/>
      <c r="E147" s="7"/>
      <c r="F147" s="7"/>
      <c r="G147" s="7"/>
      <c r="H147" s="7"/>
      <c r="I147" s="7"/>
      <c r="J147" s="7"/>
      <c r="K147" s="62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 ht="15.75" customHeight="1">
      <c r="A148" s="6">
        <v>130</v>
      </c>
      <c r="B148" s="7"/>
      <c r="C148" s="7"/>
      <c r="D148" s="7"/>
      <c r="E148" s="7"/>
      <c r="F148" s="7"/>
      <c r="G148" s="7"/>
      <c r="H148" s="7"/>
      <c r="I148" s="7"/>
      <c r="J148" s="7"/>
      <c r="K148" s="62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 ht="15.75" customHeight="1">
      <c r="A149" s="6">
        <v>131</v>
      </c>
      <c r="B149" s="7"/>
      <c r="C149" s="7"/>
      <c r="D149" s="7"/>
      <c r="E149" s="7"/>
      <c r="F149" s="7"/>
      <c r="G149" s="7"/>
      <c r="H149" s="7"/>
      <c r="I149" s="7"/>
      <c r="J149" s="7"/>
      <c r="K149" s="62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 ht="15.75" customHeight="1">
      <c r="A150" s="6">
        <v>132</v>
      </c>
      <c r="B150" s="7"/>
      <c r="C150" s="7"/>
      <c r="D150" s="7"/>
      <c r="E150" s="7"/>
      <c r="F150" s="7"/>
      <c r="G150" s="7"/>
      <c r="H150" s="7"/>
      <c r="I150" s="7"/>
      <c r="J150" s="7"/>
      <c r="K150" s="62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 ht="15.75" customHeight="1">
      <c r="A151" s="6">
        <v>133</v>
      </c>
      <c r="B151" s="7"/>
      <c r="C151" s="7"/>
      <c r="D151" s="7"/>
      <c r="E151" s="7"/>
      <c r="F151" s="7"/>
      <c r="G151" s="7"/>
      <c r="H151" s="7"/>
      <c r="I151" s="7"/>
      <c r="J151" s="7"/>
      <c r="K151" s="62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 ht="15.75" customHeight="1">
      <c r="A152" s="6">
        <v>134</v>
      </c>
      <c r="B152" s="7"/>
      <c r="C152" s="7"/>
      <c r="D152" s="7"/>
      <c r="E152" s="7"/>
      <c r="F152" s="7"/>
      <c r="G152" s="7"/>
      <c r="H152" s="7"/>
      <c r="I152" s="7"/>
      <c r="J152" s="7"/>
      <c r="K152" s="62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 ht="15.75" customHeight="1">
      <c r="A153" s="6">
        <v>135</v>
      </c>
      <c r="B153" s="7"/>
      <c r="C153" s="7"/>
      <c r="D153" s="7"/>
      <c r="E153" s="7"/>
      <c r="F153" s="7"/>
      <c r="G153" s="7"/>
      <c r="H153" s="7"/>
      <c r="I153" s="7"/>
      <c r="J153" s="7"/>
      <c r="K153" s="62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 ht="15.75" customHeight="1">
      <c r="A154" s="6">
        <v>136</v>
      </c>
      <c r="B154" s="7"/>
      <c r="C154" s="7"/>
      <c r="D154" s="7"/>
      <c r="E154" s="7"/>
      <c r="F154" s="7"/>
      <c r="G154" s="7"/>
      <c r="H154" s="7"/>
      <c r="I154" s="7"/>
      <c r="J154" s="7"/>
      <c r="K154" s="62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 ht="15.75" customHeight="1">
      <c r="A155" s="6">
        <v>137</v>
      </c>
      <c r="B155" s="7"/>
      <c r="C155" s="7"/>
      <c r="D155" s="7"/>
      <c r="E155" s="7"/>
      <c r="F155" s="7"/>
      <c r="G155" s="7"/>
      <c r="H155" s="7"/>
      <c r="I155" s="7"/>
      <c r="J155" s="7"/>
      <c r="K155" s="62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 ht="15.75" customHeight="1">
      <c r="A156" s="6">
        <v>138</v>
      </c>
      <c r="B156" s="7"/>
      <c r="C156" s="7"/>
      <c r="D156" s="7"/>
      <c r="E156" s="7"/>
      <c r="F156" s="7"/>
      <c r="G156" s="7"/>
      <c r="H156" s="7"/>
      <c r="I156" s="7"/>
      <c r="J156" s="7"/>
      <c r="K156" s="62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 ht="15.75" customHeight="1">
      <c r="A157" s="6">
        <v>139</v>
      </c>
      <c r="B157" s="7"/>
      <c r="C157" s="7"/>
      <c r="D157" s="7"/>
      <c r="E157" s="7"/>
      <c r="F157" s="7"/>
      <c r="G157" s="7"/>
      <c r="H157" s="7"/>
      <c r="I157" s="7"/>
      <c r="J157" s="7"/>
      <c r="K157" s="62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 ht="15.75" customHeight="1">
      <c r="A158" s="6">
        <v>140</v>
      </c>
      <c r="B158" s="7"/>
      <c r="C158" s="7"/>
      <c r="D158" s="7"/>
      <c r="E158" s="7"/>
      <c r="F158" s="7"/>
      <c r="G158" s="7"/>
      <c r="H158" s="7"/>
      <c r="I158" s="7"/>
      <c r="J158" s="7"/>
      <c r="K158" s="62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 ht="15.75" customHeight="1">
      <c r="A159" s="6">
        <v>141</v>
      </c>
      <c r="B159" s="7"/>
      <c r="C159" s="7"/>
      <c r="D159" s="7"/>
      <c r="E159" s="7"/>
      <c r="F159" s="7"/>
      <c r="G159" s="7"/>
      <c r="H159" s="7"/>
      <c r="I159" s="7"/>
      <c r="J159" s="7"/>
      <c r="K159" s="62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 ht="15.75" customHeight="1">
      <c r="A160" s="6">
        <v>142</v>
      </c>
      <c r="B160" s="7"/>
      <c r="C160" s="7"/>
      <c r="D160" s="7"/>
      <c r="E160" s="7"/>
      <c r="F160" s="7"/>
      <c r="G160" s="7"/>
      <c r="H160" s="7"/>
      <c r="I160" s="7"/>
      <c r="J160" s="7"/>
      <c r="K160" s="62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 ht="15.75" customHeight="1">
      <c r="A161" s="6">
        <v>143</v>
      </c>
      <c r="B161" s="7"/>
      <c r="C161" s="7"/>
      <c r="D161" s="7"/>
      <c r="E161" s="7"/>
      <c r="F161" s="7"/>
      <c r="G161" s="7"/>
      <c r="H161" s="7"/>
      <c r="I161" s="7"/>
      <c r="J161" s="7"/>
      <c r="K161" s="62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 ht="15.75" customHeight="1">
      <c r="A162" s="6">
        <v>144</v>
      </c>
      <c r="B162" s="7"/>
      <c r="C162" s="7"/>
      <c r="D162" s="7"/>
      <c r="E162" s="7"/>
      <c r="F162" s="7"/>
      <c r="G162" s="7"/>
      <c r="H162" s="7"/>
      <c r="I162" s="7"/>
      <c r="J162" s="7"/>
      <c r="K162" s="62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1:25" ht="15.75" customHeight="1">
      <c r="A163" s="6">
        <v>145</v>
      </c>
      <c r="B163" s="7"/>
      <c r="C163" s="7"/>
      <c r="D163" s="7"/>
      <c r="E163" s="7"/>
      <c r="F163" s="7"/>
      <c r="G163" s="7"/>
      <c r="H163" s="7"/>
      <c r="I163" s="7"/>
      <c r="J163" s="7"/>
      <c r="K163" s="62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 ht="15.75" customHeight="1">
      <c r="A164" s="6">
        <v>146</v>
      </c>
      <c r="B164" s="7"/>
      <c r="C164" s="7"/>
      <c r="D164" s="7"/>
      <c r="E164" s="7"/>
      <c r="F164" s="7"/>
      <c r="G164" s="7"/>
      <c r="H164" s="7"/>
      <c r="I164" s="7"/>
      <c r="J164" s="7"/>
      <c r="K164" s="62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 ht="15.75" customHeight="1">
      <c r="A165" s="6">
        <v>147</v>
      </c>
      <c r="B165" s="7"/>
      <c r="C165" s="7"/>
      <c r="D165" s="7"/>
      <c r="E165" s="7"/>
      <c r="F165" s="7"/>
      <c r="G165" s="7"/>
      <c r="H165" s="7"/>
      <c r="I165" s="7"/>
      <c r="J165" s="7"/>
      <c r="K165" s="62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 ht="15.75" customHeight="1">
      <c r="A166" s="6">
        <v>148</v>
      </c>
      <c r="B166" s="7"/>
      <c r="C166" s="7"/>
      <c r="D166" s="7"/>
      <c r="E166" s="7"/>
      <c r="F166" s="7"/>
      <c r="G166" s="7"/>
      <c r="H166" s="7"/>
      <c r="I166" s="7"/>
      <c r="J166" s="7"/>
      <c r="K166" s="62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 ht="15.75" customHeight="1">
      <c r="A167" s="6">
        <v>149</v>
      </c>
      <c r="B167" s="7"/>
      <c r="C167" s="7"/>
      <c r="D167" s="7"/>
      <c r="E167" s="7"/>
      <c r="F167" s="7"/>
      <c r="G167" s="7"/>
      <c r="H167" s="7"/>
      <c r="I167" s="7"/>
      <c r="J167" s="7"/>
      <c r="K167" s="62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 ht="15.75" customHeight="1">
      <c r="A168" s="6">
        <v>150</v>
      </c>
      <c r="B168" s="7"/>
      <c r="C168" s="7"/>
      <c r="D168" s="7"/>
      <c r="E168" s="7"/>
      <c r="F168" s="7"/>
      <c r="G168" s="7"/>
      <c r="H168" s="7"/>
      <c r="I168" s="7"/>
      <c r="J168" s="7"/>
      <c r="K168" s="62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 ht="15.75" customHeight="1">
      <c r="A169" s="6"/>
      <c r="B169" s="7"/>
      <c r="C169" s="7"/>
      <c r="D169" s="7"/>
      <c r="E169" s="7"/>
      <c r="F169" s="7"/>
      <c r="G169" s="7"/>
      <c r="H169" s="7"/>
      <c r="I169" s="7"/>
      <c r="J169" s="7"/>
      <c r="K169" s="62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 ht="15.75" customHeight="1">
      <c r="A170" s="6"/>
      <c r="B170" s="7"/>
      <c r="C170" s="7"/>
      <c r="D170" s="7"/>
      <c r="E170" s="7"/>
      <c r="F170" s="7"/>
      <c r="G170" s="7"/>
      <c r="H170" s="7"/>
      <c r="I170" s="7"/>
      <c r="J170" s="7"/>
      <c r="K170" s="62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 ht="15.75" customHeight="1">
      <c r="A171" s="6"/>
      <c r="B171" s="7"/>
      <c r="C171" s="7"/>
      <c r="D171" s="7"/>
      <c r="E171" s="7"/>
      <c r="F171" s="7"/>
      <c r="G171" s="7"/>
      <c r="H171" s="7"/>
      <c r="I171" s="7"/>
      <c r="J171" s="7"/>
      <c r="K171" s="62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62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62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62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62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62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62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62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62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62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62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62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62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62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62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62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62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62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62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62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62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62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62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62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62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62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62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62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62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62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62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62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62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62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62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62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62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62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62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62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62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62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62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62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62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62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62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62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62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62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spans="1:25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62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spans="1:25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62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1:25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62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1:25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62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spans="1: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62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spans="1:25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62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spans="1:25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62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spans="1:25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62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spans="1:25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62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1:25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62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spans="1:25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62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1:25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62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spans="1:25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62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spans="1:25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62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spans="1:2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62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spans="1:25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62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spans="1:25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62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1:25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62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1:25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62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1:25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62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spans="1:25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62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spans="1:25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62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spans="1:25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62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1:25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62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1:2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62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1:25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62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spans="1:25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62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spans="1:25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62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1:25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62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1:25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62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spans="1:25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62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1:25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62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spans="1:25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62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spans="1:25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62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spans="1:2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62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1:25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62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spans="1:25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62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5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62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spans="1:25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62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spans="1:25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62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spans="1:25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62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spans="1:25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62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spans="1:25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62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spans="1:25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62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spans="1:2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62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spans="1:25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62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spans="1:25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62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spans="1:25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62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spans="1:25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62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spans="1:25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62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spans="1:25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62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spans="1:25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62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spans="1:25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62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spans="1:25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62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spans="1:2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62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spans="1:25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62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spans="1:25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62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spans="1:25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62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spans="1:25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62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spans="1:25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62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spans="1:25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62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spans="1:25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62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spans="1:25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62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spans="1:25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62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spans="1:2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62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spans="1:25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62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spans="1:25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62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spans="1:25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62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spans="1:25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62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spans="1:25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62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spans="1:25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62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spans="1:25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62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spans="1:25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62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spans="1:25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62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spans="1:2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62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spans="1:25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62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spans="1:25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62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spans="1:25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62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spans="1:25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62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spans="1:25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62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spans="1:25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62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spans="1:25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62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spans="1:25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62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spans="1:25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62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spans="1:2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62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spans="1:25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62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spans="1:25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62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spans="1:25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62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spans="1:25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62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spans="1:25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62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spans="1:25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62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spans="1:25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62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spans="1:25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62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spans="1:25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62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spans="1:2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62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spans="1:25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62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spans="1:25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62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spans="1:25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62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spans="1:25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62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spans="1:25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62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spans="1:25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62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spans="1:25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62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spans="1:25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62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spans="1:25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62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spans="1: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62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spans="1:25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62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spans="1:25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62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spans="1:25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62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spans="1:25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62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spans="1:25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62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spans="1:25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62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spans="1:25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62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spans="1:25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62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spans="1:25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62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spans="1:2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62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spans="1:25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62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spans="1:25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62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spans="1:25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62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spans="1:25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62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spans="1:25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62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spans="1:25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62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spans="1:25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62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spans="1:25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62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spans="1:25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62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spans="1:2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62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spans="1:25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62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spans="1:25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62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spans="1:25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62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spans="1:25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62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spans="1:25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62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spans="1:25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62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spans="1:25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62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spans="1:25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62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spans="1:25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62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spans="1:2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62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spans="1:25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62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spans="1:25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62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spans="1:25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62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spans="1:25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62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spans="1:25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62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spans="1:25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62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spans="1:25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62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spans="1:25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62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spans="1:25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62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spans="1:2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62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spans="1:25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62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spans="1:25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62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spans="1:25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62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7:D17"/>
    <mergeCell ref="E17:I17"/>
    <mergeCell ref="A1:I2"/>
    <mergeCell ref="A3:I3"/>
    <mergeCell ref="A4:E4"/>
    <mergeCell ref="F4:I4"/>
    <mergeCell ref="A16:I16"/>
  </mergeCells>
  <dataValidations count="4">
    <dataValidation type="list" allowBlank="1" showErrorMessage="1" sqref="H44 H53 H56 H61 H91 H96 H121" xr:uid="{00000000-0002-0000-0700-000000000000}">
      <formula1>"Pending,Sent,Followed Up,Responded,Bounced"</formula1>
    </dataValidation>
    <dataValidation type="list" allowBlank="1" showErrorMessage="1" sqref="H72" xr:uid="{00000000-0002-0000-0700-000001000000}">
      <formula1>"Pending,Sent,Followed Up,Responded,OOO"</formula1>
    </dataValidation>
    <dataValidation type="list" allowBlank="1" showErrorMessage="1" sqref="H19:H43 H45:H52 H54:H55 H57:H60 H62:H71 H73:H90 H92:H95 H101:H120 H126:H168" xr:uid="{00000000-0002-0000-0700-000002000000}">
      <formula1>"Pending,Sent,Followed Up,Responded,Completed"</formula1>
    </dataValidation>
    <dataValidation type="list" allowBlank="1" showErrorMessage="1" sqref="H97:H100 H122:H125" xr:uid="{00000000-0002-0000-0700-000003000000}">
      <formula1>"Pending,Sent,Followed Up,Responded"</formula1>
    </dataValidation>
  </dataValidations>
  <hyperlinks>
    <hyperlink ref="A1" location="OVERVIEW!A1" display="JP Morgan Application Tracker" xr:uid="{00000000-0004-0000-0700-000000000000}"/>
    <hyperlink ref="E25" r:id="rId1" xr:uid="{BF4B39E0-45E8-4AF0-8115-7CABD18DACF0}"/>
    <hyperlink ref="E20" r:id="rId2" xr:uid="{56AA31BD-A2B8-44FD-B8FE-98B6562B788F}"/>
    <hyperlink ref="E19" r:id="rId3" xr:uid="{A715FBEA-9CB2-48D9-ACB6-5F0FCEA799BB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88EA2-B56C-495E-8609-72BE1ACBAC9D}">
  <sheetPr>
    <outlinePr summaryBelow="0" summaryRight="0"/>
  </sheetPr>
  <dimension ref="A1:Y1000"/>
  <sheetViews>
    <sheetView workbookViewId="0">
      <pane ySplit="2" topLeftCell="A3" activePane="bottomLeft" state="frozen"/>
      <selection pane="bottomLeft" activeCell="D28" sqref="D28"/>
    </sheetView>
  </sheetViews>
  <sheetFormatPr defaultColWidth="12.6328125" defaultRowHeight="15" customHeight="1"/>
  <cols>
    <col min="1" max="1" width="3.90625" customWidth="1"/>
    <col min="2" max="2" width="23.36328125" customWidth="1"/>
    <col min="3" max="3" width="29.26953125" customWidth="1"/>
    <col min="4" max="4" width="14.90625" customWidth="1"/>
    <col min="5" max="6" width="14" customWidth="1"/>
    <col min="7" max="8" width="12.26953125" customWidth="1"/>
    <col min="9" max="9" width="50.90625" customWidth="1"/>
  </cols>
  <sheetData>
    <row r="1" spans="1:25" ht="24.75" customHeight="1">
      <c r="A1" s="115" t="s">
        <v>861</v>
      </c>
      <c r="B1" s="72"/>
      <c r="C1" s="72"/>
      <c r="D1" s="72"/>
      <c r="E1" s="72"/>
      <c r="F1" s="72"/>
      <c r="G1" s="72"/>
      <c r="H1" s="72"/>
      <c r="I1" s="72"/>
      <c r="J1" s="7"/>
      <c r="K1" s="62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15.75" customHeight="1">
      <c r="A2" s="72"/>
      <c r="B2" s="72"/>
      <c r="C2" s="72"/>
      <c r="D2" s="72"/>
      <c r="E2" s="72"/>
      <c r="F2" s="72"/>
      <c r="G2" s="72"/>
      <c r="H2" s="72"/>
      <c r="I2" s="72"/>
      <c r="J2" s="7"/>
      <c r="K2" s="62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10.5" customHeight="1">
      <c r="A3" s="97"/>
      <c r="B3" s="72"/>
      <c r="C3" s="72"/>
      <c r="D3" s="72"/>
      <c r="E3" s="72"/>
      <c r="F3" s="72"/>
      <c r="G3" s="72"/>
      <c r="H3" s="72"/>
      <c r="I3" s="72"/>
      <c r="J3" s="7"/>
      <c r="K3" s="62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15.75" customHeight="1">
      <c r="A4" s="99" t="s">
        <v>564</v>
      </c>
      <c r="B4" s="72"/>
      <c r="C4" s="72"/>
      <c r="D4" s="72"/>
      <c r="E4" s="72"/>
      <c r="F4" s="100" t="s">
        <v>566</v>
      </c>
      <c r="G4" s="72"/>
      <c r="H4" s="72"/>
      <c r="I4" s="72"/>
      <c r="J4" s="63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5.75" customHeight="1">
      <c r="A5" s="51" t="s">
        <v>6</v>
      </c>
      <c r="B5" s="52" t="s">
        <v>567</v>
      </c>
      <c r="C5" s="52" t="s">
        <v>568</v>
      </c>
      <c r="D5" s="52" t="s">
        <v>569</v>
      </c>
      <c r="E5" s="52" t="s">
        <v>571</v>
      </c>
      <c r="F5" s="52" t="s">
        <v>572</v>
      </c>
      <c r="G5" s="52" t="s">
        <v>566</v>
      </c>
      <c r="H5" s="52" t="s">
        <v>573</v>
      </c>
      <c r="I5" s="52" t="s">
        <v>574</v>
      </c>
      <c r="J5" s="63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15.75" customHeight="1">
      <c r="A6" s="7">
        <v>1</v>
      </c>
      <c r="B6" s="7"/>
      <c r="C6" s="7"/>
      <c r="D6" s="7"/>
      <c r="E6" s="14"/>
      <c r="F6" s="14"/>
      <c r="G6" s="53"/>
      <c r="H6" s="7"/>
      <c r="I6" s="7"/>
      <c r="J6" s="63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15.75" customHeight="1">
      <c r="A7" s="7">
        <v>2</v>
      </c>
      <c r="B7" s="7"/>
      <c r="C7" s="7"/>
      <c r="D7" s="7"/>
      <c r="E7" s="14"/>
      <c r="F7" s="14"/>
      <c r="G7" s="53"/>
      <c r="H7" s="7"/>
      <c r="I7" s="7"/>
      <c r="J7" s="63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15.75" customHeight="1">
      <c r="A8" s="7">
        <v>3</v>
      </c>
      <c r="B8" s="7"/>
      <c r="C8" s="7"/>
      <c r="D8" s="7"/>
      <c r="E8" s="14"/>
      <c r="F8" s="14"/>
      <c r="G8" s="53"/>
      <c r="H8" s="7"/>
      <c r="I8" s="14"/>
      <c r="J8" s="63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5.75" customHeight="1">
      <c r="A9" s="7">
        <v>4</v>
      </c>
      <c r="B9" s="7"/>
      <c r="C9" s="7"/>
      <c r="D9" s="7"/>
      <c r="E9" s="14"/>
      <c r="F9" s="7"/>
      <c r="G9" s="53"/>
      <c r="H9" s="7"/>
      <c r="I9" s="7"/>
      <c r="J9" s="63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5.75" customHeight="1">
      <c r="A10" s="7">
        <v>5</v>
      </c>
      <c r="B10" s="7"/>
      <c r="C10" s="7"/>
      <c r="D10" s="7"/>
      <c r="E10" s="14"/>
      <c r="F10" s="7"/>
      <c r="G10" s="53"/>
      <c r="H10" s="7"/>
      <c r="I10" s="7"/>
      <c r="J10" s="63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5.75" customHeight="1">
      <c r="A11" s="7">
        <v>6</v>
      </c>
      <c r="B11" s="7"/>
      <c r="C11" s="7"/>
      <c r="D11" s="7"/>
      <c r="E11" s="14"/>
      <c r="F11" s="7"/>
      <c r="G11" s="53"/>
      <c r="H11" s="7"/>
      <c r="I11" s="7"/>
      <c r="J11" s="63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15.75" customHeight="1">
      <c r="A12" s="7">
        <v>7</v>
      </c>
      <c r="B12" s="7"/>
      <c r="C12" s="7"/>
      <c r="D12" s="7"/>
      <c r="E12" s="14"/>
      <c r="F12" s="7"/>
      <c r="G12" s="53"/>
      <c r="H12" s="7"/>
      <c r="I12" s="7"/>
      <c r="J12" s="63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15.75" customHeight="1">
      <c r="A13" s="7">
        <v>8</v>
      </c>
      <c r="B13" s="7"/>
      <c r="C13" s="7"/>
      <c r="D13" s="7"/>
      <c r="E13" s="14"/>
      <c r="F13" s="7"/>
      <c r="G13" s="53"/>
      <c r="H13" s="7"/>
      <c r="I13" s="7"/>
      <c r="J13" s="63"/>
      <c r="K13" s="64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15.75" customHeight="1">
      <c r="A14" s="7">
        <v>9</v>
      </c>
      <c r="B14" s="7"/>
      <c r="C14" s="7"/>
      <c r="D14" s="7"/>
      <c r="E14" s="14"/>
      <c r="F14" s="7"/>
      <c r="G14" s="60"/>
      <c r="H14" s="7"/>
      <c r="I14" s="7"/>
      <c r="J14" s="63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5.75" customHeight="1">
      <c r="A15" s="7">
        <v>10</v>
      </c>
      <c r="B15" s="7"/>
      <c r="C15" s="7"/>
      <c r="D15" s="7"/>
      <c r="E15" s="14"/>
      <c r="F15" s="7"/>
      <c r="G15" s="53"/>
      <c r="H15" s="7"/>
      <c r="I15" s="7"/>
      <c r="J15" s="63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0.5" customHeight="1">
      <c r="A16" s="97"/>
      <c r="B16" s="72"/>
      <c r="C16" s="72"/>
      <c r="D16" s="72"/>
      <c r="E16" s="72"/>
      <c r="F16" s="72"/>
      <c r="G16" s="72"/>
      <c r="H16" s="72"/>
      <c r="I16" s="72"/>
      <c r="J16" s="7"/>
      <c r="K16" s="62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ht="15.75" customHeight="1">
      <c r="A17" s="99" t="s">
        <v>564</v>
      </c>
      <c r="B17" s="72"/>
      <c r="C17" s="72"/>
      <c r="D17" s="72"/>
      <c r="E17" s="100" t="s">
        <v>598</v>
      </c>
      <c r="F17" s="72"/>
      <c r="G17" s="72"/>
      <c r="H17" s="72"/>
      <c r="I17" s="72"/>
      <c r="J17" s="7"/>
      <c r="K17" s="62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ht="15.75" customHeight="1">
      <c r="A18" s="52" t="s">
        <v>6</v>
      </c>
      <c r="B18" s="52" t="s">
        <v>567</v>
      </c>
      <c r="C18" s="52" t="s">
        <v>568</v>
      </c>
      <c r="D18" s="52" t="s">
        <v>569</v>
      </c>
      <c r="E18" s="52" t="s">
        <v>600</v>
      </c>
      <c r="F18" s="52"/>
      <c r="G18" s="52"/>
      <c r="H18" s="52" t="s">
        <v>604</v>
      </c>
      <c r="I18" s="52" t="s">
        <v>605</v>
      </c>
      <c r="J18" s="7"/>
      <c r="K18" s="62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ht="15.75" customHeight="1">
      <c r="A19" s="7">
        <v>1</v>
      </c>
      <c r="B19" s="7" t="s">
        <v>862</v>
      </c>
      <c r="C19" s="7"/>
      <c r="D19" s="7" t="s">
        <v>865</v>
      </c>
      <c r="E19" s="103" t="s">
        <v>863</v>
      </c>
      <c r="F19" s="7"/>
      <c r="G19" s="7"/>
      <c r="H19" s="7"/>
      <c r="I19" s="7"/>
      <c r="J19" s="7"/>
      <c r="K19" s="62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ht="15.75" customHeight="1">
      <c r="A20" s="7">
        <v>2</v>
      </c>
      <c r="B20" s="7" t="s">
        <v>864</v>
      </c>
      <c r="C20" s="7"/>
      <c r="D20" s="7" t="s">
        <v>702</v>
      </c>
      <c r="E20" s="103" t="s">
        <v>866</v>
      </c>
      <c r="F20" s="7"/>
      <c r="G20" s="7"/>
      <c r="H20" s="7"/>
      <c r="I20" s="7" t="s">
        <v>867</v>
      </c>
      <c r="J20" s="7"/>
      <c r="K20" s="62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ht="15.75" customHeight="1">
      <c r="A21" s="7">
        <v>3</v>
      </c>
      <c r="B21" s="7" t="s">
        <v>868</v>
      </c>
      <c r="C21" s="7"/>
      <c r="D21" s="7" t="s">
        <v>705</v>
      </c>
      <c r="E21" s="56" t="s">
        <v>869</v>
      </c>
      <c r="F21" s="7"/>
      <c r="G21" s="7"/>
      <c r="H21" s="7"/>
      <c r="I21" s="7" t="s">
        <v>870</v>
      </c>
      <c r="J21" s="7"/>
      <c r="K21" s="62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ht="15.75" customHeight="1">
      <c r="A22" s="6">
        <v>4</v>
      </c>
      <c r="B22" s="7" t="s">
        <v>871</v>
      </c>
      <c r="C22" s="7"/>
      <c r="D22" s="7" t="s">
        <v>785</v>
      </c>
      <c r="E22" s="7" t="s">
        <v>872</v>
      </c>
      <c r="F22" s="7"/>
      <c r="G22" s="7"/>
      <c r="H22" s="7"/>
      <c r="I22" s="7" t="s">
        <v>873</v>
      </c>
      <c r="J22" s="7"/>
      <c r="K22" s="62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ht="15.75" customHeight="1">
      <c r="A23" s="6">
        <v>5</v>
      </c>
      <c r="B23" s="7" t="s">
        <v>877</v>
      </c>
      <c r="C23" s="7"/>
      <c r="D23" s="7" t="s">
        <v>735</v>
      </c>
      <c r="E23" s="7" t="s">
        <v>878</v>
      </c>
      <c r="F23" s="7"/>
      <c r="G23" s="7"/>
      <c r="H23" s="7"/>
      <c r="I23" s="7" t="s">
        <v>867</v>
      </c>
      <c r="J23" s="7"/>
      <c r="K23" s="62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ht="15.75" customHeight="1">
      <c r="A24" s="6">
        <v>6</v>
      </c>
      <c r="B24" s="7" t="s">
        <v>879</v>
      </c>
      <c r="C24" s="7"/>
      <c r="D24" s="7" t="s">
        <v>711</v>
      </c>
      <c r="E24" s="41" t="s">
        <v>880</v>
      </c>
      <c r="F24" s="7"/>
      <c r="G24" s="7"/>
      <c r="H24" s="7"/>
      <c r="I24" s="7" t="s">
        <v>758</v>
      </c>
      <c r="J24" s="7"/>
      <c r="K24" s="62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ht="15.75" customHeight="1">
      <c r="A25" s="6">
        <v>7</v>
      </c>
      <c r="B25" s="7" t="s">
        <v>881</v>
      </c>
      <c r="C25" s="7"/>
      <c r="D25" s="7" t="s">
        <v>702</v>
      </c>
      <c r="E25" s="103" t="s">
        <v>882</v>
      </c>
      <c r="F25" s="7"/>
      <c r="G25" s="7"/>
      <c r="H25" s="7"/>
      <c r="I25" s="7" t="s">
        <v>883</v>
      </c>
      <c r="J25" s="7"/>
      <c r="K25" s="62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ht="15.75" customHeight="1">
      <c r="A26" s="6">
        <v>8</v>
      </c>
      <c r="B26" s="7" t="s">
        <v>884</v>
      </c>
      <c r="C26" s="7"/>
      <c r="D26" s="7" t="s">
        <v>702</v>
      </c>
      <c r="E26" s="41" t="s">
        <v>885</v>
      </c>
      <c r="F26" s="7"/>
      <c r="G26" s="7"/>
      <c r="H26" s="7"/>
      <c r="I26" s="7" t="s">
        <v>886</v>
      </c>
      <c r="J26" s="7"/>
      <c r="K26" s="62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 ht="15.75" customHeight="1">
      <c r="A27" s="6">
        <v>9</v>
      </c>
      <c r="B27" s="7"/>
      <c r="C27" s="7"/>
      <c r="D27" s="7"/>
      <c r="E27" s="41"/>
      <c r="F27" s="7"/>
      <c r="G27" s="7"/>
      <c r="H27" s="7"/>
      <c r="I27" s="7"/>
      <c r="J27" s="7"/>
      <c r="K27" s="62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ht="15.75" customHeight="1">
      <c r="A28" s="6">
        <v>10</v>
      </c>
      <c r="B28" s="7"/>
      <c r="C28" s="7"/>
      <c r="D28" s="7"/>
      <c r="E28" s="41"/>
      <c r="F28" s="7"/>
      <c r="G28" s="7"/>
      <c r="H28" s="7"/>
      <c r="I28" s="7"/>
      <c r="J28" s="7"/>
      <c r="K28" s="62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ht="15.75" customHeight="1">
      <c r="A29" s="6">
        <v>11</v>
      </c>
      <c r="B29" s="7"/>
      <c r="C29" s="7"/>
      <c r="D29" s="7"/>
      <c r="E29" s="41"/>
      <c r="F29" s="7"/>
      <c r="G29" s="7"/>
      <c r="H29" s="7"/>
      <c r="I29" s="7"/>
      <c r="J29" s="7"/>
      <c r="K29" s="62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ht="15.75" customHeight="1">
      <c r="A30" s="6">
        <v>12</v>
      </c>
      <c r="B30" s="7"/>
      <c r="C30" s="7"/>
      <c r="D30" s="7"/>
      <c r="E30" s="41"/>
      <c r="F30" s="7"/>
      <c r="G30" s="7"/>
      <c r="H30" s="7"/>
      <c r="I30" s="7"/>
      <c r="J30" s="7"/>
      <c r="K30" s="62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ht="15.75" customHeight="1">
      <c r="A31" s="6">
        <v>13</v>
      </c>
      <c r="B31" s="7"/>
      <c r="C31" s="7"/>
      <c r="D31" s="7"/>
      <c r="E31" s="41"/>
      <c r="F31" s="7"/>
      <c r="G31" s="7"/>
      <c r="H31" s="7"/>
      <c r="I31" s="7"/>
      <c r="J31" s="7"/>
      <c r="K31" s="62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ht="15.75" customHeight="1">
      <c r="A32" s="6">
        <v>14</v>
      </c>
      <c r="B32" s="7"/>
      <c r="C32" s="7"/>
      <c r="D32" s="7"/>
      <c r="E32" s="41"/>
      <c r="F32" s="7"/>
      <c r="G32" s="7"/>
      <c r="H32" s="7"/>
      <c r="I32" s="7"/>
      <c r="J32" s="7"/>
      <c r="K32" s="62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ht="15.75" customHeight="1">
      <c r="A33" s="6">
        <v>15</v>
      </c>
      <c r="B33" s="7"/>
      <c r="C33" s="7"/>
      <c r="D33" s="7"/>
      <c r="E33" s="41"/>
      <c r="F33" s="7"/>
      <c r="G33" s="7"/>
      <c r="H33" s="7"/>
      <c r="I33" s="7"/>
      <c r="J33" s="7"/>
      <c r="K33" s="62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ht="15.75" customHeight="1">
      <c r="A34" s="6">
        <v>16</v>
      </c>
      <c r="B34" s="7"/>
      <c r="C34" s="7"/>
      <c r="D34" s="7"/>
      <c r="E34" s="41"/>
      <c r="F34" s="7"/>
      <c r="G34" s="7"/>
      <c r="H34" s="7"/>
      <c r="I34" s="7"/>
      <c r="J34" s="7"/>
      <c r="K34" s="62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ht="15.75" customHeight="1">
      <c r="A35" s="6">
        <v>17</v>
      </c>
      <c r="B35" s="7"/>
      <c r="C35" s="7"/>
      <c r="D35" s="7"/>
      <c r="E35" s="41"/>
      <c r="F35" s="7"/>
      <c r="G35" s="7"/>
      <c r="H35" s="7"/>
      <c r="I35" s="7"/>
      <c r="J35" s="7"/>
      <c r="K35" s="62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ht="15.75" customHeight="1">
      <c r="A36" s="6">
        <v>18</v>
      </c>
      <c r="B36" s="7"/>
      <c r="C36" s="7"/>
      <c r="D36" s="7"/>
      <c r="E36" s="41"/>
      <c r="F36" s="7"/>
      <c r="G36" s="7"/>
      <c r="H36" s="7"/>
      <c r="I36" s="7"/>
      <c r="J36" s="7"/>
      <c r="K36" s="62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ht="15.75" customHeight="1">
      <c r="A37" s="6">
        <v>19</v>
      </c>
      <c r="B37" s="7"/>
      <c r="C37" s="7"/>
      <c r="D37" s="7"/>
      <c r="E37" s="56"/>
      <c r="F37" s="7"/>
      <c r="G37" s="7"/>
      <c r="H37" s="7"/>
      <c r="I37" s="7"/>
      <c r="J37" s="7"/>
      <c r="K37" s="62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ht="15.75" customHeight="1">
      <c r="A38" s="6">
        <v>20</v>
      </c>
      <c r="B38" s="7"/>
      <c r="C38" s="7"/>
      <c r="D38" s="7"/>
      <c r="E38" s="56"/>
      <c r="F38" s="7"/>
      <c r="G38" s="7"/>
      <c r="H38" s="7"/>
      <c r="I38" s="7"/>
      <c r="J38" s="7"/>
      <c r="K38" s="62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ht="15.75" customHeight="1">
      <c r="A39" s="6">
        <v>21</v>
      </c>
      <c r="B39" s="7"/>
      <c r="C39" s="7"/>
      <c r="D39" s="7"/>
      <c r="E39" s="56"/>
      <c r="F39" s="7"/>
      <c r="G39" s="7"/>
      <c r="H39" s="7"/>
      <c r="I39" s="7"/>
      <c r="J39" s="7"/>
      <c r="K39" s="62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ht="15.75" customHeight="1">
      <c r="A40" s="6">
        <v>22</v>
      </c>
      <c r="B40" s="7"/>
      <c r="C40" s="7"/>
      <c r="D40" s="7"/>
      <c r="E40" s="56"/>
      <c r="F40" s="7"/>
      <c r="G40" s="7"/>
      <c r="H40" s="7"/>
      <c r="I40" s="7"/>
      <c r="J40" s="7"/>
      <c r="K40" s="62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ht="15.75" customHeight="1">
      <c r="A41" s="6">
        <v>23</v>
      </c>
      <c r="B41" s="7"/>
      <c r="C41" s="7"/>
      <c r="D41" s="7"/>
      <c r="E41" s="41"/>
      <c r="F41" s="7"/>
      <c r="G41" s="7"/>
      <c r="H41" s="7"/>
      <c r="I41" s="7"/>
      <c r="J41" s="7"/>
      <c r="K41" s="62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ht="15.75" customHeight="1">
      <c r="A42" s="6">
        <v>24</v>
      </c>
      <c r="B42" s="7"/>
      <c r="C42" s="7"/>
      <c r="D42" s="7"/>
      <c r="E42" s="41"/>
      <c r="F42" s="7"/>
      <c r="G42" s="7"/>
      <c r="H42" s="7"/>
      <c r="I42" s="7"/>
      <c r="J42" s="7"/>
      <c r="K42" s="62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ht="15.75" customHeight="1">
      <c r="A43" s="6">
        <v>25</v>
      </c>
      <c r="B43" s="7"/>
      <c r="C43" s="7"/>
      <c r="D43" s="7"/>
      <c r="E43" s="41"/>
      <c r="F43" s="7"/>
      <c r="G43" s="7"/>
      <c r="H43" s="7"/>
      <c r="I43" s="7"/>
      <c r="J43" s="7"/>
      <c r="K43" s="62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ht="15.75" customHeight="1">
      <c r="A44" s="6">
        <v>26</v>
      </c>
      <c r="B44" s="7"/>
      <c r="C44" s="7"/>
      <c r="D44" s="7"/>
      <c r="E44" s="41"/>
      <c r="F44" s="7"/>
      <c r="G44" s="7"/>
      <c r="H44" s="7"/>
      <c r="I44" s="7"/>
      <c r="J44" s="7"/>
      <c r="K44" s="62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ht="15.75" customHeight="1">
      <c r="A45" s="6">
        <v>27</v>
      </c>
      <c r="B45" s="7"/>
      <c r="C45" s="7"/>
      <c r="D45" s="7"/>
      <c r="E45" s="41"/>
      <c r="F45" s="7"/>
      <c r="G45" s="7"/>
      <c r="H45" s="7"/>
      <c r="I45" s="7"/>
      <c r="J45" s="7"/>
      <c r="K45" s="62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ht="15.75" customHeight="1">
      <c r="A46" s="6">
        <v>28</v>
      </c>
      <c r="B46" s="7"/>
      <c r="C46" s="7"/>
      <c r="D46" s="7"/>
      <c r="E46" s="56"/>
      <c r="F46" s="7"/>
      <c r="G46" s="7"/>
      <c r="H46" s="7"/>
      <c r="I46" s="7"/>
      <c r="J46" s="7"/>
      <c r="K46" s="62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ht="15.75" customHeight="1">
      <c r="A47" s="6">
        <v>29</v>
      </c>
      <c r="B47" s="7"/>
      <c r="C47" s="7"/>
      <c r="D47" s="7"/>
      <c r="E47" s="56"/>
      <c r="F47" s="7"/>
      <c r="G47" s="7"/>
      <c r="H47" s="7"/>
      <c r="I47" s="7"/>
      <c r="J47" s="7"/>
      <c r="K47" s="62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ht="15.75" customHeight="1">
      <c r="A48" s="6">
        <v>30</v>
      </c>
      <c r="B48" s="7"/>
      <c r="C48" s="7"/>
      <c r="D48" s="7"/>
      <c r="E48" s="56"/>
      <c r="F48" s="7"/>
      <c r="G48" s="7"/>
      <c r="H48" s="7"/>
      <c r="I48" s="7"/>
      <c r="J48" s="7"/>
      <c r="K48" s="62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ht="15.75" customHeight="1">
      <c r="A49" s="6">
        <v>31</v>
      </c>
      <c r="B49" s="7"/>
      <c r="C49" s="7"/>
      <c r="D49" s="7"/>
      <c r="E49" s="56"/>
      <c r="F49" s="7"/>
      <c r="G49" s="7"/>
      <c r="H49" s="7"/>
      <c r="I49" s="7"/>
      <c r="J49" s="7"/>
      <c r="K49" s="62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ht="15.75" customHeight="1">
      <c r="A50" s="6">
        <v>32</v>
      </c>
      <c r="B50" s="7"/>
      <c r="C50" s="7"/>
      <c r="D50" s="7"/>
      <c r="E50" s="41"/>
      <c r="F50" s="7"/>
      <c r="G50" s="7"/>
      <c r="H50" s="7"/>
      <c r="I50" s="7"/>
      <c r="J50" s="7"/>
      <c r="K50" s="62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ht="15.75" customHeight="1">
      <c r="A51" s="6">
        <v>33</v>
      </c>
      <c r="B51" s="7"/>
      <c r="C51" s="7"/>
      <c r="D51" s="7"/>
      <c r="E51" s="41"/>
      <c r="F51" s="7"/>
      <c r="G51" s="7"/>
      <c r="H51" s="7"/>
      <c r="I51" s="7"/>
      <c r="J51" s="7"/>
      <c r="K51" s="62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ht="15.75" customHeight="1">
      <c r="A52" s="6">
        <v>34</v>
      </c>
      <c r="B52" s="7"/>
      <c r="C52" s="7"/>
      <c r="D52" s="7"/>
      <c r="E52" s="41"/>
      <c r="F52" s="7"/>
      <c r="G52" s="7"/>
      <c r="H52" s="7"/>
      <c r="I52" s="7"/>
      <c r="J52" s="7"/>
      <c r="K52" s="62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 ht="15.75" customHeight="1">
      <c r="A53" s="6">
        <v>35</v>
      </c>
      <c r="B53" s="7"/>
      <c r="C53" s="7"/>
      <c r="D53" s="7"/>
      <c r="E53" s="7"/>
      <c r="F53" s="7"/>
      <c r="G53" s="7"/>
      <c r="H53" s="7"/>
      <c r="I53" s="7"/>
      <c r="J53" s="7"/>
      <c r="K53" s="62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 ht="15.75" customHeight="1">
      <c r="A54" s="6">
        <v>36</v>
      </c>
      <c r="B54" s="7"/>
      <c r="C54" s="7"/>
      <c r="D54" s="7"/>
      <c r="E54" s="7"/>
      <c r="F54" s="7"/>
      <c r="G54" s="7"/>
      <c r="H54" s="7"/>
      <c r="I54" s="7"/>
      <c r="J54" s="7"/>
      <c r="K54" s="62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 ht="15.75" customHeight="1">
      <c r="A55" s="6">
        <v>37</v>
      </c>
      <c r="B55" s="7"/>
      <c r="C55" s="7"/>
      <c r="D55" s="7"/>
      <c r="E55" s="41"/>
      <c r="F55" s="7"/>
      <c r="G55" s="7"/>
      <c r="H55" s="7"/>
      <c r="I55" s="7"/>
      <c r="J55" s="7"/>
      <c r="K55" s="62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 ht="15.75" customHeight="1">
      <c r="A56" s="6">
        <v>38</v>
      </c>
      <c r="B56" s="7"/>
      <c r="C56" s="7"/>
      <c r="D56" s="7"/>
      <c r="E56" s="7"/>
      <c r="F56" s="7"/>
      <c r="G56" s="7"/>
      <c r="H56" s="7"/>
      <c r="I56" s="7"/>
      <c r="J56" s="7"/>
      <c r="K56" s="62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 ht="15.75" customHeight="1">
      <c r="A57" s="6">
        <v>39</v>
      </c>
      <c r="B57" s="7"/>
      <c r="C57" s="7"/>
      <c r="D57" s="7"/>
      <c r="E57" s="7"/>
      <c r="F57" s="7"/>
      <c r="G57" s="7"/>
      <c r="H57" s="7"/>
      <c r="I57" s="7"/>
      <c r="J57" s="7"/>
      <c r="K57" s="62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 ht="15.75" customHeight="1">
      <c r="A58" s="6">
        <v>40</v>
      </c>
      <c r="B58" s="7"/>
      <c r="C58" s="7"/>
      <c r="D58" s="7"/>
      <c r="E58" s="41"/>
      <c r="F58" s="7"/>
      <c r="G58" s="7"/>
      <c r="H58" s="7"/>
      <c r="I58" s="7"/>
      <c r="J58" s="7"/>
      <c r="K58" s="62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ht="15.75" customHeight="1">
      <c r="A59" s="6">
        <v>41</v>
      </c>
      <c r="B59" s="7"/>
      <c r="C59" s="7"/>
      <c r="D59" s="7"/>
      <c r="E59" s="41"/>
      <c r="F59" s="7"/>
      <c r="G59" s="7"/>
      <c r="H59" s="7"/>
      <c r="I59" s="7"/>
      <c r="J59" s="7"/>
      <c r="K59" s="62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ht="15.75" customHeight="1">
      <c r="A60" s="6">
        <v>42</v>
      </c>
      <c r="B60" s="7"/>
      <c r="C60" s="7"/>
      <c r="D60" s="7"/>
      <c r="E60" s="41"/>
      <c r="F60" s="7"/>
      <c r="G60" s="7"/>
      <c r="H60" s="7"/>
      <c r="I60" s="7"/>
      <c r="J60" s="7"/>
      <c r="K60" s="62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ht="15.75" customHeight="1">
      <c r="A61" s="6">
        <v>43</v>
      </c>
      <c r="B61" s="7"/>
      <c r="C61" s="7"/>
      <c r="D61" s="7"/>
      <c r="E61" s="41"/>
      <c r="F61" s="7"/>
      <c r="G61" s="7"/>
      <c r="H61" s="7"/>
      <c r="I61" s="7"/>
      <c r="J61" s="7"/>
      <c r="K61" s="62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 ht="15.75" customHeight="1">
      <c r="A62" s="6">
        <v>44</v>
      </c>
      <c r="B62" s="7"/>
      <c r="C62" s="7"/>
      <c r="D62" s="7"/>
      <c r="E62" s="41"/>
      <c r="F62" s="7"/>
      <c r="G62" s="7"/>
      <c r="H62" s="7"/>
      <c r="I62" s="7"/>
      <c r="J62" s="7"/>
      <c r="K62" s="62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 ht="15.75" customHeight="1">
      <c r="A63" s="6">
        <v>45</v>
      </c>
      <c r="B63" s="7"/>
      <c r="C63" s="7"/>
      <c r="D63" s="7"/>
      <c r="E63" s="41"/>
      <c r="F63" s="7"/>
      <c r="G63" s="7"/>
      <c r="H63" s="7"/>
      <c r="I63" s="7"/>
      <c r="J63" s="7"/>
      <c r="K63" s="62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 ht="15.75" customHeight="1">
      <c r="A64" s="6">
        <v>46</v>
      </c>
      <c r="B64" s="7"/>
      <c r="C64" s="7"/>
      <c r="D64" s="7"/>
      <c r="E64" s="7"/>
      <c r="F64" s="7"/>
      <c r="G64" s="7"/>
      <c r="H64" s="7"/>
      <c r="I64" s="7"/>
      <c r="J64" s="7"/>
      <c r="K64" s="62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 ht="15.75" customHeight="1">
      <c r="A65" s="6">
        <v>47</v>
      </c>
      <c r="B65" s="7"/>
      <c r="C65" s="7"/>
      <c r="D65" s="7"/>
      <c r="E65" s="41"/>
      <c r="F65" s="7"/>
      <c r="G65" s="7"/>
      <c r="H65" s="7"/>
      <c r="I65" s="7"/>
      <c r="J65" s="7"/>
      <c r="K65" s="62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 ht="15.75" customHeight="1">
      <c r="A66" s="6">
        <v>48</v>
      </c>
      <c r="B66" s="7"/>
      <c r="C66" s="7"/>
      <c r="D66" s="7"/>
      <c r="E66" s="41"/>
      <c r="F66" s="7"/>
      <c r="G66" s="7"/>
      <c r="H66" s="7"/>
      <c r="I66" s="7"/>
      <c r="J66" s="7"/>
      <c r="K66" s="62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 ht="15.75" customHeight="1">
      <c r="A67" s="6">
        <v>49</v>
      </c>
      <c r="B67" s="7"/>
      <c r="C67" s="7"/>
      <c r="D67" s="7"/>
      <c r="E67" s="41"/>
      <c r="F67" s="7"/>
      <c r="G67" s="7"/>
      <c r="H67" s="7"/>
      <c r="I67" s="7"/>
      <c r="J67" s="7"/>
      <c r="K67" s="62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ht="15.75" customHeight="1">
      <c r="A68" s="6">
        <v>50</v>
      </c>
      <c r="B68" s="7"/>
      <c r="C68" s="7"/>
      <c r="D68" s="7"/>
      <c r="E68" s="41"/>
      <c r="F68" s="7"/>
      <c r="G68" s="7"/>
      <c r="H68" s="7"/>
      <c r="I68" s="7"/>
      <c r="J68" s="7"/>
      <c r="K68" s="62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ht="15.75" customHeight="1">
      <c r="A69" s="6">
        <v>51</v>
      </c>
      <c r="B69" s="7"/>
      <c r="C69" s="7"/>
      <c r="D69" s="7"/>
      <c r="E69" s="41"/>
      <c r="F69" s="7"/>
      <c r="G69" s="7"/>
      <c r="H69" s="7"/>
      <c r="I69" s="7"/>
      <c r="J69" s="65"/>
      <c r="K69" s="62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ht="15.75" customHeight="1">
      <c r="A70" s="6">
        <v>52</v>
      </c>
      <c r="B70" s="7"/>
      <c r="C70" s="7"/>
      <c r="D70" s="7"/>
      <c r="E70" s="41"/>
      <c r="F70" s="7"/>
      <c r="G70" s="7"/>
      <c r="H70" s="7"/>
      <c r="I70" s="7"/>
      <c r="J70" s="65"/>
      <c r="K70" s="62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 ht="15.75" customHeight="1">
      <c r="A71" s="6">
        <v>53</v>
      </c>
      <c r="B71" s="7"/>
      <c r="C71" s="7"/>
      <c r="D71" s="7"/>
      <c r="E71" s="7"/>
      <c r="F71" s="7"/>
      <c r="G71" s="7"/>
      <c r="H71" s="7"/>
      <c r="I71" s="7"/>
      <c r="J71" s="65"/>
      <c r="K71" s="62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 ht="15.75" customHeight="1">
      <c r="A72" s="6">
        <v>54</v>
      </c>
      <c r="B72" s="7"/>
      <c r="C72" s="7"/>
      <c r="D72" s="7"/>
      <c r="E72" s="41"/>
      <c r="F72" s="7"/>
      <c r="G72" s="7"/>
      <c r="H72" s="7"/>
      <c r="I72" s="7"/>
      <c r="J72" s="65"/>
      <c r="K72" s="62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 ht="15.75" customHeight="1">
      <c r="A73" s="6">
        <v>55</v>
      </c>
      <c r="B73" s="7"/>
      <c r="C73" s="7"/>
      <c r="D73" s="7"/>
      <c r="E73" s="41"/>
      <c r="F73" s="7"/>
      <c r="G73" s="7"/>
      <c r="H73" s="7"/>
      <c r="I73" s="7"/>
      <c r="J73" s="65"/>
      <c r="K73" s="62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 ht="15.75" customHeight="1">
      <c r="A74" s="6">
        <v>56</v>
      </c>
      <c r="B74" s="7"/>
      <c r="C74" s="7"/>
      <c r="D74" s="7"/>
      <c r="E74" s="41"/>
      <c r="F74" s="7"/>
      <c r="G74" s="7"/>
      <c r="H74" s="7"/>
      <c r="I74" s="7"/>
      <c r="J74" s="65"/>
      <c r="K74" s="62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 ht="15.75" customHeight="1">
      <c r="A75" s="6">
        <v>57</v>
      </c>
      <c r="B75" s="7"/>
      <c r="C75" s="7"/>
      <c r="D75" s="7"/>
      <c r="E75" s="41"/>
      <c r="F75" s="7"/>
      <c r="G75" s="7"/>
      <c r="H75" s="7"/>
      <c r="I75" s="7"/>
      <c r="J75" s="65"/>
      <c r="K75" s="62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 ht="15.75" customHeight="1">
      <c r="A76" s="6">
        <v>58</v>
      </c>
      <c r="B76" s="7"/>
      <c r="C76" s="7"/>
      <c r="D76" s="7"/>
      <c r="E76" s="7"/>
      <c r="F76" s="7"/>
      <c r="G76" s="7"/>
      <c r="H76" s="7"/>
      <c r="I76" s="7"/>
      <c r="J76" s="65"/>
      <c r="K76" s="62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ht="15.75" customHeight="1">
      <c r="A77" s="6">
        <v>59</v>
      </c>
      <c r="B77" s="7"/>
      <c r="C77" s="7"/>
      <c r="D77" s="7"/>
      <c r="E77" s="7"/>
      <c r="F77" s="7"/>
      <c r="G77" s="7"/>
      <c r="H77" s="7"/>
      <c r="I77" s="7"/>
      <c r="J77" s="65"/>
      <c r="K77" s="62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ht="15.75" customHeight="1">
      <c r="A78" s="6">
        <v>60</v>
      </c>
      <c r="B78" s="7"/>
      <c r="C78" s="7"/>
      <c r="D78" s="7"/>
      <c r="E78" s="41"/>
      <c r="F78" s="7"/>
      <c r="G78" s="7"/>
      <c r="H78" s="7"/>
      <c r="I78" s="7"/>
      <c r="J78" s="65"/>
      <c r="K78" s="62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ht="15.75" customHeight="1">
      <c r="A79" s="6">
        <v>61</v>
      </c>
      <c r="B79" s="7"/>
      <c r="C79" s="7"/>
      <c r="D79" s="7"/>
      <c r="E79" s="41"/>
      <c r="F79" s="7"/>
      <c r="G79" s="7"/>
      <c r="H79" s="7"/>
      <c r="I79" s="7"/>
      <c r="J79" s="7"/>
      <c r="K79" s="62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 ht="15.75" customHeight="1">
      <c r="A80" s="6">
        <v>62</v>
      </c>
      <c r="B80" s="7"/>
      <c r="C80" s="7"/>
      <c r="D80" s="7"/>
      <c r="E80" s="41"/>
      <c r="F80" s="7"/>
      <c r="G80" s="7"/>
      <c r="H80" s="7"/>
      <c r="I80" s="7"/>
      <c r="J80" s="66"/>
      <c r="K80" s="62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 ht="15.75" customHeight="1">
      <c r="A81" s="6">
        <v>63</v>
      </c>
      <c r="B81" s="7"/>
      <c r="C81" s="7"/>
      <c r="D81" s="7"/>
      <c r="E81" s="41"/>
      <c r="F81" s="7"/>
      <c r="G81" s="7"/>
      <c r="H81" s="7"/>
      <c r="I81" s="7"/>
      <c r="J81" s="66"/>
      <c r="K81" s="62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 ht="15.75" customHeight="1">
      <c r="A82" s="6">
        <v>64</v>
      </c>
      <c r="B82" s="7"/>
      <c r="C82" s="7"/>
      <c r="D82" s="7"/>
      <c r="E82" s="41"/>
      <c r="F82" s="7"/>
      <c r="G82" s="7"/>
      <c r="H82" s="7"/>
      <c r="I82" s="7"/>
      <c r="J82" s="7"/>
      <c r="K82" s="62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 ht="15.75" customHeight="1">
      <c r="A83" s="6">
        <v>65</v>
      </c>
      <c r="B83" s="7"/>
      <c r="C83" s="7"/>
      <c r="D83" s="7"/>
      <c r="E83" s="41"/>
      <c r="F83" s="7"/>
      <c r="G83" s="7"/>
      <c r="H83" s="7"/>
      <c r="I83" s="7"/>
      <c r="J83" s="66"/>
      <c r="K83" s="62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 ht="15.75" customHeight="1">
      <c r="A84" s="6">
        <v>66</v>
      </c>
      <c r="B84" s="7"/>
      <c r="C84" s="7"/>
      <c r="D84" s="7"/>
      <c r="E84" s="41"/>
      <c r="F84" s="7"/>
      <c r="G84" s="7"/>
      <c r="H84" s="7"/>
      <c r="I84" s="7"/>
      <c r="J84" s="66"/>
      <c r="K84" s="62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 ht="15.75" customHeight="1">
      <c r="A85" s="6">
        <v>67</v>
      </c>
      <c r="B85" s="7"/>
      <c r="C85" s="7"/>
      <c r="D85" s="7"/>
      <c r="E85" s="41"/>
      <c r="F85" s="7"/>
      <c r="G85" s="7"/>
      <c r="H85" s="7"/>
      <c r="I85" s="7"/>
      <c r="J85" s="7"/>
      <c r="K85" s="62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ht="15.75" customHeight="1">
      <c r="A86" s="6">
        <v>68</v>
      </c>
      <c r="B86" s="7"/>
      <c r="C86" s="7"/>
      <c r="D86" s="7"/>
      <c r="E86" s="41"/>
      <c r="F86" s="7"/>
      <c r="G86" s="7"/>
      <c r="H86" s="7"/>
      <c r="I86" s="7"/>
      <c r="J86" s="7"/>
      <c r="K86" s="62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ht="15.75" customHeight="1">
      <c r="A87" s="6">
        <v>69</v>
      </c>
      <c r="B87" s="7"/>
      <c r="C87" s="7"/>
      <c r="D87" s="7"/>
      <c r="E87" s="41"/>
      <c r="F87" s="7"/>
      <c r="G87" s="7"/>
      <c r="H87" s="7"/>
      <c r="I87" s="7"/>
      <c r="J87" s="66"/>
      <c r="K87" s="62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ht="15.75" customHeight="1">
      <c r="A88" s="6">
        <v>70</v>
      </c>
      <c r="B88" s="7"/>
      <c r="C88" s="7"/>
      <c r="D88" s="7"/>
      <c r="E88" s="41"/>
      <c r="F88" s="7"/>
      <c r="G88" s="7"/>
      <c r="H88" s="7"/>
      <c r="I88" s="7"/>
      <c r="J88" s="7"/>
      <c r="K88" s="62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 ht="15.75" customHeight="1">
      <c r="A89" s="6">
        <v>71</v>
      </c>
      <c r="B89" s="7"/>
      <c r="C89" s="7"/>
      <c r="D89" s="7"/>
      <c r="E89" s="41"/>
      <c r="F89" s="7"/>
      <c r="G89" s="7"/>
      <c r="H89" s="7"/>
      <c r="I89" s="7"/>
      <c r="J89" s="66"/>
      <c r="K89" s="62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 ht="15.75" customHeight="1">
      <c r="A90" s="6">
        <v>72</v>
      </c>
      <c r="B90" s="7"/>
      <c r="C90" s="7"/>
      <c r="D90" s="7"/>
      <c r="E90" s="41"/>
      <c r="F90" s="7"/>
      <c r="G90" s="7"/>
      <c r="H90" s="7"/>
      <c r="I90" s="7"/>
      <c r="J90" s="66"/>
      <c r="K90" s="62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 ht="15.75" customHeight="1">
      <c r="A91" s="6">
        <v>73</v>
      </c>
      <c r="B91" s="7"/>
      <c r="C91" s="7"/>
      <c r="D91" s="7"/>
      <c r="E91" s="41"/>
      <c r="F91" s="7"/>
      <c r="G91" s="7"/>
      <c r="H91" s="7"/>
      <c r="I91" s="7"/>
      <c r="J91" s="67"/>
      <c r="K91" s="62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 ht="15.75" customHeight="1">
      <c r="A92" s="6">
        <v>74</v>
      </c>
      <c r="B92" s="7"/>
      <c r="C92" s="7"/>
      <c r="D92" s="7"/>
      <c r="E92" s="41"/>
      <c r="F92" s="7"/>
      <c r="G92" s="7"/>
      <c r="H92" s="7"/>
      <c r="I92" s="7"/>
      <c r="J92" s="66"/>
      <c r="K92" s="62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 ht="15.75" customHeight="1">
      <c r="A93" s="6">
        <v>75</v>
      </c>
      <c r="B93" s="7"/>
      <c r="C93" s="7"/>
      <c r="D93" s="7"/>
      <c r="E93" s="41"/>
      <c r="F93" s="7"/>
      <c r="G93" s="7"/>
      <c r="H93" s="7"/>
      <c r="I93" s="7"/>
      <c r="J93" s="66"/>
      <c r="K93" s="62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 ht="15.75" customHeight="1">
      <c r="A94" s="6">
        <v>76</v>
      </c>
      <c r="B94" s="7"/>
      <c r="C94" s="7"/>
      <c r="D94" s="7"/>
      <c r="E94" s="56"/>
      <c r="F94" s="7"/>
      <c r="G94" s="7"/>
      <c r="H94" s="7"/>
      <c r="I94" s="7"/>
      <c r="J94" s="67"/>
      <c r="K94" s="62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ht="15.75" customHeight="1">
      <c r="A95" s="6">
        <v>77</v>
      </c>
      <c r="B95" s="7"/>
      <c r="C95" s="7"/>
      <c r="D95" s="7"/>
      <c r="E95" s="56"/>
      <c r="F95" s="7"/>
      <c r="G95" s="7"/>
      <c r="H95" s="7"/>
      <c r="I95" s="7"/>
      <c r="J95" s="66"/>
      <c r="K95" s="62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ht="15.75" customHeight="1">
      <c r="A96" s="6">
        <v>78</v>
      </c>
      <c r="B96" s="7"/>
      <c r="C96" s="7"/>
      <c r="D96" s="7"/>
      <c r="E96" s="41"/>
      <c r="F96" s="50"/>
      <c r="G96" s="50"/>
      <c r="H96" s="7"/>
      <c r="I96" s="7"/>
      <c r="J96" s="7"/>
      <c r="K96" s="62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ht="15.75" customHeight="1">
      <c r="A97" s="6">
        <v>79</v>
      </c>
      <c r="B97" s="7"/>
      <c r="C97" s="7"/>
      <c r="D97" s="7"/>
      <c r="E97" s="41"/>
      <c r="F97" s="50"/>
      <c r="G97" s="50"/>
      <c r="H97" s="50"/>
      <c r="I97" s="7"/>
      <c r="J97" s="7"/>
      <c r="K97" s="62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 ht="15.75" customHeight="1">
      <c r="A98" s="6">
        <v>80</v>
      </c>
      <c r="B98" s="7"/>
      <c r="C98" s="7"/>
      <c r="D98" s="7"/>
      <c r="E98" s="41"/>
      <c r="F98" s="50"/>
      <c r="G98" s="50"/>
      <c r="H98" s="50"/>
      <c r="I98" s="7"/>
      <c r="J98" s="7"/>
      <c r="K98" s="62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 ht="15.75" customHeight="1">
      <c r="A99" s="6">
        <v>81</v>
      </c>
      <c r="B99" s="7"/>
      <c r="C99" s="7"/>
      <c r="D99" s="7"/>
      <c r="E99" s="41"/>
      <c r="F99" s="50"/>
      <c r="G99" s="50"/>
      <c r="H99" s="50"/>
      <c r="I99" s="7"/>
      <c r="J99" s="7"/>
      <c r="K99" s="62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 ht="15.75" customHeight="1">
      <c r="A100" s="6">
        <v>82</v>
      </c>
      <c r="B100" s="7"/>
      <c r="C100" s="7"/>
      <c r="D100" s="7"/>
      <c r="E100" s="41"/>
      <c r="F100" s="50"/>
      <c r="G100" s="50"/>
      <c r="H100" s="50"/>
      <c r="I100" s="7"/>
      <c r="J100" s="7"/>
      <c r="K100" s="62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 ht="15.75" customHeight="1">
      <c r="A101" s="6">
        <v>83</v>
      </c>
      <c r="B101" s="7"/>
      <c r="C101" s="7"/>
      <c r="D101" s="7"/>
      <c r="E101" s="41"/>
      <c r="F101" s="50"/>
      <c r="G101" s="50"/>
      <c r="H101" s="50"/>
      <c r="I101" s="7"/>
      <c r="J101" s="7"/>
      <c r="K101" s="62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 ht="15.75" customHeight="1">
      <c r="A102" s="6">
        <v>84</v>
      </c>
      <c r="B102" s="7"/>
      <c r="C102" s="7"/>
      <c r="D102" s="7"/>
      <c r="E102" s="41"/>
      <c r="F102" s="50"/>
      <c r="G102" s="50"/>
      <c r="H102" s="50"/>
      <c r="I102" s="7"/>
      <c r="J102" s="7"/>
      <c r="K102" s="62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 ht="15.75" customHeight="1">
      <c r="A103" s="6">
        <v>85</v>
      </c>
      <c r="B103" s="7"/>
      <c r="C103" s="7"/>
      <c r="D103" s="7"/>
      <c r="E103" s="41"/>
      <c r="F103" s="50"/>
      <c r="G103" s="50"/>
      <c r="H103" s="50"/>
      <c r="I103" s="7"/>
      <c r="J103" s="7"/>
      <c r="K103" s="62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ht="15.75" customHeight="1">
      <c r="A104" s="6">
        <v>86</v>
      </c>
      <c r="B104" s="7"/>
      <c r="C104" s="50"/>
      <c r="D104" s="7"/>
      <c r="E104" s="41"/>
      <c r="F104" s="50"/>
      <c r="G104" s="50"/>
      <c r="H104" s="50"/>
      <c r="I104" s="7"/>
      <c r="J104" s="7"/>
      <c r="K104" s="62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ht="15.75" customHeight="1">
      <c r="A105" s="6">
        <v>87</v>
      </c>
      <c r="B105" s="7"/>
      <c r="C105" s="50"/>
      <c r="D105" s="7"/>
      <c r="E105" s="41"/>
      <c r="F105" s="50"/>
      <c r="G105" s="50"/>
      <c r="H105" s="50"/>
      <c r="I105" s="7"/>
      <c r="J105" s="7"/>
      <c r="K105" s="62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ht="15.75" customHeight="1">
      <c r="A106" s="6">
        <v>88</v>
      </c>
      <c r="B106" s="7"/>
      <c r="C106" s="7"/>
      <c r="D106" s="7"/>
      <c r="E106" s="41"/>
      <c r="F106" s="50"/>
      <c r="G106" s="50"/>
      <c r="H106" s="50"/>
      <c r="I106" s="7"/>
      <c r="J106" s="7"/>
      <c r="K106" s="62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 ht="15.75" customHeight="1">
      <c r="A107" s="6">
        <v>89</v>
      </c>
      <c r="B107" s="7"/>
      <c r="C107" s="50"/>
      <c r="D107" s="7"/>
      <c r="E107" s="41"/>
      <c r="F107" s="50"/>
      <c r="G107" s="50"/>
      <c r="H107" s="50"/>
      <c r="I107" s="7"/>
      <c r="J107" s="7"/>
      <c r="K107" s="62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 ht="15.75" customHeight="1">
      <c r="A108" s="6">
        <v>90</v>
      </c>
      <c r="B108" s="7"/>
      <c r="C108" s="50"/>
      <c r="D108" s="7"/>
      <c r="E108" s="41"/>
      <c r="F108" s="50"/>
      <c r="G108" s="50"/>
      <c r="H108" s="50"/>
      <c r="I108" s="7"/>
      <c r="J108" s="7"/>
      <c r="K108" s="62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 ht="15.75" customHeight="1">
      <c r="A109" s="6">
        <v>91</v>
      </c>
      <c r="B109" s="7"/>
      <c r="C109" s="50"/>
      <c r="D109" s="7"/>
      <c r="E109" s="41"/>
      <c r="F109" s="50"/>
      <c r="G109" s="50"/>
      <c r="H109" s="50"/>
      <c r="I109" s="7"/>
      <c r="J109" s="7"/>
      <c r="K109" s="62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 ht="15.75" customHeight="1">
      <c r="A110" s="6">
        <v>92</v>
      </c>
      <c r="B110" s="7"/>
      <c r="C110" s="7"/>
      <c r="D110" s="7"/>
      <c r="E110" s="41"/>
      <c r="F110" s="50"/>
      <c r="G110" s="50"/>
      <c r="H110" s="50"/>
      <c r="I110" s="7"/>
      <c r="J110" s="7"/>
      <c r="K110" s="62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 ht="15.75" customHeight="1">
      <c r="A111" s="6">
        <v>93</v>
      </c>
      <c r="B111" s="7"/>
      <c r="C111" s="50"/>
      <c r="D111" s="7"/>
      <c r="E111" s="41"/>
      <c r="F111" s="50"/>
      <c r="G111" s="50"/>
      <c r="H111" s="50"/>
      <c r="I111" s="7"/>
      <c r="J111" s="7"/>
      <c r="K111" s="62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 ht="15.75" customHeight="1">
      <c r="A112" s="6">
        <v>94</v>
      </c>
      <c r="B112" s="7"/>
      <c r="C112" s="7"/>
      <c r="D112" s="7"/>
      <c r="E112" s="41"/>
      <c r="F112" s="50"/>
      <c r="G112" s="50"/>
      <c r="H112" s="50"/>
      <c r="I112" s="7"/>
      <c r="J112" s="7"/>
      <c r="K112" s="62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ht="15.75" customHeight="1">
      <c r="A113" s="6">
        <v>95</v>
      </c>
      <c r="B113" s="50"/>
      <c r="C113" s="50"/>
      <c r="D113" s="50"/>
      <c r="E113" s="41"/>
      <c r="F113" s="50"/>
      <c r="G113" s="50"/>
      <c r="H113" s="50"/>
      <c r="I113" s="50"/>
      <c r="J113" s="7"/>
      <c r="K113" s="62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ht="15.75" customHeight="1">
      <c r="A114" s="6">
        <v>96</v>
      </c>
      <c r="B114" s="50"/>
      <c r="C114" s="50"/>
      <c r="D114" s="50"/>
      <c r="E114" s="50"/>
      <c r="F114" s="50"/>
      <c r="G114" s="50"/>
      <c r="H114" s="50"/>
      <c r="I114" s="50"/>
      <c r="J114" s="7"/>
      <c r="K114" s="62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ht="15.75" customHeight="1">
      <c r="A115" s="6">
        <v>97</v>
      </c>
      <c r="B115" s="50"/>
      <c r="C115" s="50"/>
      <c r="D115" s="50"/>
      <c r="E115" s="41"/>
      <c r="F115" s="50"/>
      <c r="G115" s="50"/>
      <c r="H115" s="50"/>
      <c r="I115" s="7"/>
      <c r="J115" s="7"/>
      <c r="K115" s="62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 ht="15.75" customHeight="1">
      <c r="A116" s="6">
        <v>98</v>
      </c>
      <c r="B116" s="7"/>
      <c r="C116" s="50"/>
      <c r="D116" s="50"/>
      <c r="E116" s="41"/>
      <c r="F116" s="50"/>
      <c r="G116" s="50"/>
      <c r="H116" s="50"/>
      <c r="I116" s="7"/>
      <c r="J116" s="7"/>
      <c r="K116" s="62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 ht="15.75" customHeight="1">
      <c r="A117" s="6">
        <v>99</v>
      </c>
      <c r="B117" s="7"/>
      <c r="C117" s="7"/>
      <c r="D117" s="7"/>
      <c r="E117" s="41"/>
      <c r="F117" s="7"/>
      <c r="G117" s="7"/>
      <c r="H117" s="7"/>
      <c r="I117" s="7"/>
      <c r="J117" s="7"/>
      <c r="K117" s="62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 ht="15.75" customHeight="1">
      <c r="A118" s="6">
        <v>100</v>
      </c>
      <c r="B118" s="7"/>
      <c r="C118" s="7"/>
      <c r="D118" s="7"/>
      <c r="E118" s="7"/>
      <c r="F118" s="7"/>
      <c r="G118" s="7"/>
      <c r="H118" s="7"/>
      <c r="I118" s="7"/>
      <c r="J118" s="7"/>
      <c r="K118" s="62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 ht="15.75" customHeight="1">
      <c r="A119" s="6">
        <v>101</v>
      </c>
      <c r="B119" s="7"/>
      <c r="C119" s="7"/>
      <c r="D119" s="7"/>
      <c r="E119" s="41"/>
      <c r="F119" s="7"/>
      <c r="G119" s="7"/>
      <c r="H119" s="7"/>
      <c r="I119" s="7"/>
      <c r="J119" s="7"/>
      <c r="K119" s="62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 ht="15.75" customHeight="1">
      <c r="A120" s="6">
        <v>102</v>
      </c>
      <c r="B120" s="7"/>
      <c r="C120" s="7"/>
      <c r="D120" s="7"/>
      <c r="E120" s="41"/>
      <c r="F120" s="7"/>
      <c r="G120" s="7"/>
      <c r="H120" s="7"/>
      <c r="I120" s="7"/>
      <c r="J120" s="7"/>
      <c r="K120" s="62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 ht="15.75" customHeight="1">
      <c r="A121" s="6">
        <v>103</v>
      </c>
      <c r="B121" s="7"/>
      <c r="C121" s="7"/>
      <c r="D121" s="7"/>
      <c r="E121" s="41"/>
      <c r="F121" s="7"/>
      <c r="G121" s="7"/>
      <c r="H121" s="7"/>
      <c r="I121" s="7"/>
      <c r="J121" s="7"/>
      <c r="K121" s="62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ht="15.75" customHeight="1">
      <c r="A122" s="6">
        <v>104</v>
      </c>
      <c r="B122" s="7"/>
      <c r="C122" s="7"/>
      <c r="D122" s="7"/>
      <c r="E122" s="41"/>
      <c r="F122" s="7"/>
      <c r="G122" s="7"/>
      <c r="H122" s="7"/>
      <c r="I122" s="7"/>
      <c r="J122" s="7"/>
      <c r="K122" s="62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ht="15.75" customHeight="1">
      <c r="A123" s="6">
        <v>105</v>
      </c>
      <c r="B123" s="7"/>
      <c r="C123" s="7"/>
      <c r="D123" s="7"/>
      <c r="E123" s="41"/>
      <c r="F123" s="7"/>
      <c r="G123" s="7"/>
      <c r="H123" s="7"/>
      <c r="I123" s="7"/>
      <c r="J123" s="7"/>
      <c r="K123" s="62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ht="15.75" customHeight="1">
      <c r="A124" s="6">
        <v>106</v>
      </c>
      <c r="B124" s="7"/>
      <c r="C124" s="7"/>
      <c r="D124" s="7"/>
      <c r="E124" s="41"/>
      <c r="F124" s="7"/>
      <c r="G124" s="7"/>
      <c r="H124" s="7"/>
      <c r="I124" s="7"/>
      <c r="J124" s="7"/>
      <c r="K124" s="62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 ht="15.75" customHeight="1">
      <c r="A125" s="6">
        <v>107</v>
      </c>
      <c r="B125" s="7"/>
      <c r="C125" s="7"/>
      <c r="D125" s="7"/>
      <c r="E125" s="41"/>
      <c r="F125" s="7"/>
      <c r="G125" s="7"/>
      <c r="H125" s="7"/>
      <c r="I125" s="7"/>
      <c r="J125" s="7"/>
      <c r="K125" s="62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 ht="15.75" customHeight="1">
      <c r="A126" s="6">
        <v>108</v>
      </c>
      <c r="B126" s="7"/>
      <c r="C126" s="7"/>
      <c r="D126" s="7"/>
      <c r="E126" s="41"/>
      <c r="F126" s="7"/>
      <c r="G126" s="7"/>
      <c r="H126" s="7"/>
      <c r="I126" s="7"/>
      <c r="J126" s="7"/>
      <c r="K126" s="62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 ht="15.75" customHeight="1">
      <c r="A127" s="6">
        <v>109</v>
      </c>
      <c r="B127" s="7"/>
      <c r="C127" s="7"/>
      <c r="D127" s="7"/>
      <c r="E127" s="41"/>
      <c r="F127" s="7"/>
      <c r="G127" s="7"/>
      <c r="H127" s="7"/>
      <c r="I127" s="7"/>
      <c r="J127" s="7"/>
      <c r="K127" s="62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 ht="15.75" customHeight="1">
      <c r="A128" s="6">
        <v>110</v>
      </c>
      <c r="B128" s="7"/>
      <c r="C128" s="7"/>
      <c r="D128" s="7"/>
      <c r="E128" s="41"/>
      <c r="F128" s="7"/>
      <c r="G128" s="7"/>
      <c r="H128" s="7"/>
      <c r="I128" s="7"/>
      <c r="J128" s="7"/>
      <c r="K128" s="62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 ht="15.75" customHeight="1">
      <c r="A129" s="6">
        <v>111</v>
      </c>
      <c r="B129" s="7"/>
      <c r="C129" s="7"/>
      <c r="D129" s="7"/>
      <c r="E129" s="41"/>
      <c r="F129" s="7"/>
      <c r="G129" s="7"/>
      <c r="H129" s="7"/>
      <c r="I129" s="7"/>
      <c r="J129" s="7"/>
      <c r="K129" s="62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 ht="15.75" customHeight="1">
      <c r="A130" s="6">
        <v>112</v>
      </c>
      <c r="B130" s="7"/>
      <c r="C130" s="7"/>
      <c r="D130" s="7"/>
      <c r="E130" s="41"/>
      <c r="F130" s="7"/>
      <c r="G130" s="7"/>
      <c r="H130" s="7"/>
      <c r="I130" s="7"/>
      <c r="J130" s="7"/>
      <c r="K130" s="62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 ht="15.75" customHeight="1">
      <c r="A131" s="6">
        <v>113</v>
      </c>
      <c r="B131" s="7"/>
      <c r="C131" s="7"/>
      <c r="D131" s="7"/>
      <c r="E131" s="41"/>
      <c r="F131" s="7"/>
      <c r="G131" s="7"/>
      <c r="H131" s="7"/>
      <c r="I131" s="7"/>
      <c r="J131" s="7"/>
      <c r="K131" s="62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 ht="15.75" customHeight="1">
      <c r="A132" s="6">
        <v>114</v>
      </c>
      <c r="B132" s="7"/>
      <c r="C132" s="7"/>
      <c r="D132" s="7"/>
      <c r="E132" s="41"/>
      <c r="F132" s="7"/>
      <c r="G132" s="7"/>
      <c r="H132" s="7"/>
      <c r="I132" s="7"/>
      <c r="J132" s="7"/>
      <c r="K132" s="62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 ht="15.75" customHeight="1">
      <c r="A133" s="6">
        <v>115</v>
      </c>
      <c r="B133" s="7"/>
      <c r="C133" s="7"/>
      <c r="D133" s="7"/>
      <c r="E133" s="41"/>
      <c r="F133" s="7"/>
      <c r="G133" s="7"/>
      <c r="H133" s="7"/>
      <c r="I133" s="7"/>
      <c r="J133" s="7"/>
      <c r="K133" s="62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 ht="15.75" customHeight="1">
      <c r="A134" s="6">
        <v>116</v>
      </c>
      <c r="B134" s="7"/>
      <c r="C134" s="7"/>
      <c r="D134" s="7"/>
      <c r="E134" s="41"/>
      <c r="F134" s="7"/>
      <c r="G134" s="7"/>
      <c r="H134" s="7"/>
      <c r="I134" s="7"/>
      <c r="J134" s="7"/>
      <c r="K134" s="62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 ht="15.75" customHeight="1">
      <c r="A135" s="6">
        <v>117</v>
      </c>
      <c r="B135" s="7"/>
      <c r="C135" s="7"/>
      <c r="D135" s="7"/>
      <c r="E135" s="41"/>
      <c r="F135" s="7"/>
      <c r="G135" s="7"/>
      <c r="H135" s="7"/>
      <c r="I135" s="7"/>
      <c r="J135" s="7"/>
      <c r="K135" s="62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 ht="15.75" customHeight="1">
      <c r="A136" s="6">
        <v>118</v>
      </c>
      <c r="B136" s="7"/>
      <c r="C136" s="7"/>
      <c r="D136" s="7"/>
      <c r="E136" s="41"/>
      <c r="F136" s="7"/>
      <c r="G136" s="7"/>
      <c r="H136" s="7"/>
      <c r="I136" s="7"/>
      <c r="J136" s="7"/>
      <c r="K136" s="62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 ht="15.75" customHeight="1">
      <c r="A137" s="6">
        <v>119</v>
      </c>
      <c r="B137" s="7"/>
      <c r="C137" s="7"/>
      <c r="D137" s="7"/>
      <c r="E137" s="41"/>
      <c r="F137" s="7"/>
      <c r="G137" s="7"/>
      <c r="H137" s="7"/>
      <c r="I137" s="7"/>
      <c r="J137" s="7"/>
      <c r="K137" s="62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 ht="15.75" customHeight="1">
      <c r="A138" s="6">
        <v>120</v>
      </c>
      <c r="B138" s="7"/>
      <c r="C138" s="7"/>
      <c r="D138" s="7"/>
      <c r="E138" s="41"/>
      <c r="F138" s="7"/>
      <c r="G138" s="7"/>
      <c r="H138" s="7"/>
      <c r="I138" s="7"/>
      <c r="J138" s="7"/>
      <c r="K138" s="62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 ht="15.75" customHeight="1">
      <c r="A139" s="6">
        <v>121</v>
      </c>
      <c r="B139" s="7"/>
      <c r="C139" s="7"/>
      <c r="D139" s="7"/>
      <c r="E139" s="7"/>
      <c r="F139" s="7"/>
      <c r="G139" s="7"/>
      <c r="H139" s="7"/>
      <c r="I139" s="7"/>
      <c r="J139" s="7"/>
      <c r="K139" s="62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 ht="15.75" customHeight="1">
      <c r="A140" s="6">
        <v>122</v>
      </c>
      <c r="B140" s="7"/>
      <c r="C140" s="7"/>
      <c r="D140" s="7"/>
      <c r="E140" s="41"/>
      <c r="F140" s="7"/>
      <c r="G140" s="7"/>
      <c r="H140" s="7"/>
      <c r="I140" s="7"/>
      <c r="J140" s="7"/>
      <c r="K140" s="62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 ht="15.75" customHeight="1">
      <c r="A141" s="6">
        <v>123</v>
      </c>
      <c r="B141" s="7"/>
      <c r="C141" s="7"/>
      <c r="D141" s="7"/>
      <c r="E141" s="41"/>
      <c r="F141" s="7"/>
      <c r="G141" s="7"/>
      <c r="H141" s="7"/>
      <c r="I141" s="7"/>
      <c r="J141" s="7"/>
      <c r="K141" s="62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 ht="15.75" customHeight="1">
      <c r="A142" s="6">
        <v>124</v>
      </c>
      <c r="B142" s="7"/>
      <c r="C142" s="7"/>
      <c r="D142" s="7"/>
      <c r="E142" s="7"/>
      <c r="F142" s="7"/>
      <c r="G142" s="7"/>
      <c r="H142" s="7"/>
      <c r="I142" s="7"/>
      <c r="J142" s="7"/>
      <c r="K142" s="62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 ht="15.75" customHeight="1">
      <c r="A143" s="6">
        <v>125</v>
      </c>
      <c r="B143" s="7"/>
      <c r="C143" s="7"/>
      <c r="D143" s="7"/>
      <c r="E143" s="7"/>
      <c r="F143" s="7"/>
      <c r="G143" s="7"/>
      <c r="H143" s="7"/>
      <c r="I143" s="7"/>
      <c r="J143" s="7"/>
      <c r="K143" s="62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 ht="15.75" customHeight="1">
      <c r="A144" s="6">
        <v>126</v>
      </c>
      <c r="B144" s="7"/>
      <c r="C144" s="7"/>
      <c r="D144" s="7"/>
      <c r="E144" s="7"/>
      <c r="F144" s="7"/>
      <c r="G144" s="7"/>
      <c r="H144" s="7"/>
      <c r="I144" s="7"/>
      <c r="J144" s="7"/>
      <c r="K144" s="62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 ht="15.75" customHeight="1">
      <c r="A145" s="6">
        <v>127</v>
      </c>
      <c r="B145" s="7"/>
      <c r="C145" s="7"/>
      <c r="D145" s="7"/>
      <c r="E145" s="7"/>
      <c r="F145" s="7"/>
      <c r="G145" s="7"/>
      <c r="H145" s="7"/>
      <c r="I145" s="7"/>
      <c r="J145" s="7"/>
      <c r="K145" s="62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 ht="15.75" customHeight="1">
      <c r="A146" s="6">
        <v>128</v>
      </c>
      <c r="B146" s="7"/>
      <c r="C146" s="7"/>
      <c r="D146" s="7"/>
      <c r="E146" s="7"/>
      <c r="F146" s="7"/>
      <c r="G146" s="7"/>
      <c r="H146" s="7"/>
      <c r="I146" s="7"/>
      <c r="J146" s="7"/>
      <c r="K146" s="62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 ht="15.75" customHeight="1">
      <c r="A147" s="6">
        <v>129</v>
      </c>
      <c r="B147" s="7"/>
      <c r="C147" s="7"/>
      <c r="D147" s="7"/>
      <c r="E147" s="7"/>
      <c r="F147" s="7"/>
      <c r="G147" s="7"/>
      <c r="H147" s="7"/>
      <c r="I147" s="7"/>
      <c r="J147" s="7"/>
      <c r="K147" s="62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 ht="15.75" customHeight="1">
      <c r="A148" s="6">
        <v>130</v>
      </c>
      <c r="B148" s="7"/>
      <c r="C148" s="7"/>
      <c r="D148" s="7"/>
      <c r="E148" s="7"/>
      <c r="F148" s="7"/>
      <c r="G148" s="7"/>
      <c r="H148" s="7"/>
      <c r="I148" s="7"/>
      <c r="J148" s="7"/>
      <c r="K148" s="62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 ht="15.75" customHeight="1">
      <c r="A149" s="6">
        <v>131</v>
      </c>
      <c r="B149" s="7"/>
      <c r="C149" s="7"/>
      <c r="D149" s="7"/>
      <c r="E149" s="7"/>
      <c r="F149" s="7"/>
      <c r="G149" s="7"/>
      <c r="H149" s="7"/>
      <c r="I149" s="7"/>
      <c r="J149" s="7"/>
      <c r="K149" s="62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 ht="15.75" customHeight="1">
      <c r="A150" s="6">
        <v>132</v>
      </c>
      <c r="B150" s="7"/>
      <c r="C150" s="7"/>
      <c r="D150" s="7"/>
      <c r="E150" s="7"/>
      <c r="F150" s="7"/>
      <c r="G150" s="7"/>
      <c r="H150" s="7"/>
      <c r="I150" s="7"/>
      <c r="J150" s="7"/>
      <c r="K150" s="62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 ht="15.75" customHeight="1">
      <c r="A151" s="6">
        <v>133</v>
      </c>
      <c r="B151" s="7"/>
      <c r="C151" s="7"/>
      <c r="D151" s="7"/>
      <c r="E151" s="7"/>
      <c r="F151" s="7"/>
      <c r="G151" s="7"/>
      <c r="H151" s="7"/>
      <c r="I151" s="7"/>
      <c r="J151" s="7"/>
      <c r="K151" s="62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 ht="15.75" customHeight="1">
      <c r="A152" s="6">
        <v>134</v>
      </c>
      <c r="B152" s="7"/>
      <c r="C152" s="7"/>
      <c r="D152" s="7"/>
      <c r="E152" s="7"/>
      <c r="F152" s="7"/>
      <c r="G152" s="7"/>
      <c r="H152" s="7"/>
      <c r="I152" s="7"/>
      <c r="J152" s="7"/>
      <c r="K152" s="62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 ht="15.75" customHeight="1">
      <c r="A153" s="6">
        <v>135</v>
      </c>
      <c r="B153" s="7"/>
      <c r="C153" s="7"/>
      <c r="D153" s="7"/>
      <c r="E153" s="7"/>
      <c r="F153" s="7"/>
      <c r="G153" s="7"/>
      <c r="H153" s="7"/>
      <c r="I153" s="7"/>
      <c r="J153" s="7"/>
      <c r="K153" s="62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 ht="15.75" customHeight="1">
      <c r="A154" s="6">
        <v>136</v>
      </c>
      <c r="B154" s="7"/>
      <c r="C154" s="7"/>
      <c r="D154" s="7"/>
      <c r="E154" s="7"/>
      <c r="F154" s="7"/>
      <c r="G154" s="7"/>
      <c r="H154" s="7"/>
      <c r="I154" s="7"/>
      <c r="J154" s="7"/>
      <c r="K154" s="62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 ht="15.75" customHeight="1">
      <c r="A155" s="6">
        <v>137</v>
      </c>
      <c r="B155" s="7"/>
      <c r="C155" s="7"/>
      <c r="D155" s="7"/>
      <c r="E155" s="7"/>
      <c r="F155" s="7"/>
      <c r="G155" s="7"/>
      <c r="H155" s="7"/>
      <c r="I155" s="7"/>
      <c r="J155" s="7"/>
      <c r="K155" s="62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 ht="15.75" customHeight="1">
      <c r="A156" s="6">
        <v>138</v>
      </c>
      <c r="B156" s="7"/>
      <c r="C156" s="7"/>
      <c r="D156" s="7"/>
      <c r="E156" s="7"/>
      <c r="F156" s="7"/>
      <c r="G156" s="7"/>
      <c r="H156" s="7"/>
      <c r="I156" s="7"/>
      <c r="J156" s="7"/>
      <c r="K156" s="62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 ht="15.75" customHeight="1">
      <c r="A157" s="6">
        <v>139</v>
      </c>
      <c r="B157" s="7"/>
      <c r="C157" s="7"/>
      <c r="D157" s="7"/>
      <c r="E157" s="7"/>
      <c r="F157" s="7"/>
      <c r="G157" s="7"/>
      <c r="H157" s="7"/>
      <c r="I157" s="7"/>
      <c r="J157" s="7"/>
      <c r="K157" s="62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 ht="15.75" customHeight="1">
      <c r="A158" s="6">
        <v>140</v>
      </c>
      <c r="B158" s="7"/>
      <c r="C158" s="7"/>
      <c r="D158" s="7"/>
      <c r="E158" s="7"/>
      <c r="F158" s="7"/>
      <c r="G158" s="7"/>
      <c r="H158" s="7"/>
      <c r="I158" s="7"/>
      <c r="J158" s="7"/>
      <c r="K158" s="62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 ht="15.75" customHeight="1">
      <c r="A159" s="6">
        <v>141</v>
      </c>
      <c r="B159" s="7"/>
      <c r="C159" s="7"/>
      <c r="D159" s="7"/>
      <c r="E159" s="7"/>
      <c r="F159" s="7"/>
      <c r="G159" s="7"/>
      <c r="H159" s="7"/>
      <c r="I159" s="7"/>
      <c r="J159" s="7"/>
      <c r="K159" s="62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 ht="15.75" customHeight="1">
      <c r="A160" s="6">
        <v>142</v>
      </c>
      <c r="B160" s="7"/>
      <c r="C160" s="7"/>
      <c r="D160" s="7"/>
      <c r="E160" s="7"/>
      <c r="F160" s="7"/>
      <c r="G160" s="7"/>
      <c r="H160" s="7"/>
      <c r="I160" s="7"/>
      <c r="J160" s="7"/>
      <c r="K160" s="62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 ht="15.75" customHeight="1">
      <c r="A161" s="6">
        <v>143</v>
      </c>
      <c r="B161" s="7"/>
      <c r="C161" s="7"/>
      <c r="D161" s="7"/>
      <c r="E161" s="7"/>
      <c r="F161" s="7"/>
      <c r="G161" s="7"/>
      <c r="H161" s="7"/>
      <c r="I161" s="7"/>
      <c r="J161" s="7"/>
      <c r="K161" s="62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 ht="15.75" customHeight="1">
      <c r="A162" s="6">
        <v>144</v>
      </c>
      <c r="B162" s="7"/>
      <c r="C162" s="7"/>
      <c r="D162" s="7"/>
      <c r="E162" s="7"/>
      <c r="F162" s="7"/>
      <c r="G162" s="7"/>
      <c r="H162" s="7"/>
      <c r="I162" s="7"/>
      <c r="J162" s="7"/>
      <c r="K162" s="62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1:25" ht="15.75" customHeight="1">
      <c r="A163" s="6">
        <v>145</v>
      </c>
      <c r="B163" s="7"/>
      <c r="C163" s="7"/>
      <c r="D163" s="7"/>
      <c r="E163" s="7"/>
      <c r="F163" s="7"/>
      <c r="G163" s="7"/>
      <c r="H163" s="7"/>
      <c r="I163" s="7"/>
      <c r="J163" s="7"/>
      <c r="K163" s="62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 ht="15.75" customHeight="1">
      <c r="A164" s="6">
        <v>146</v>
      </c>
      <c r="B164" s="7"/>
      <c r="C164" s="7"/>
      <c r="D164" s="7"/>
      <c r="E164" s="7"/>
      <c r="F164" s="7"/>
      <c r="G164" s="7"/>
      <c r="H164" s="7"/>
      <c r="I164" s="7"/>
      <c r="J164" s="7"/>
      <c r="K164" s="62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 ht="15.75" customHeight="1">
      <c r="A165" s="6">
        <v>147</v>
      </c>
      <c r="B165" s="7"/>
      <c r="C165" s="7"/>
      <c r="D165" s="7"/>
      <c r="E165" s="7"/>
      <c r="F165" s="7"/>
      <c r="G165" s="7"/>
      <c r="H165" s="7"/>
      <c r="I165" s="7"/>
      <c r="J165" s="7"/>
      <c r="K165" s="62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 ht="15.75" customHeight="1">
      <c r="A166" s="6">
        <v>148</v>
      </c>
      <c r="B166" s="7"/>
      <c r="C166" s="7"/>
      <c r="D166" s="7"/>
      <c r="E166" s="7"/>
      <c r="F166" s="7"/>
      <c r="G166" s="7"/>
      <c r="H166" s="7"/>
      <c r="I166" s="7"/>
      <c r="J166" s="7"/>
      <c r="K166" s="62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 ht="15.75" customHeight="1">
      <c r="A167" s="6">
        <v>149</v>
      </c>
      <c r="B167" s="7"/>
      <c r="C167" s="7"/>
      <c r="D167" s="7"/>
      <c r="E167" s="7"/>
      <c r="F167" s="7"/>
      <c r="G167" s="7"/>
      <c r="H167" s="7"/>
      <c r="I167" s="7"/>
      <c r="J167" s="7"/>
      <c r="K167" s="62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 ht="15.75" customHeight="1">
      <c r="A168" s="6">
        <v>150</v>
      </c>
      <c r="B168" s="7"/>
      <c r="C168" s="7"/>
      <c r="D168" s="7"/>
      <c r="E168" s="7"/>
      <c r="F168" s="7"/>
      <c r="G168" s="7"/>
      <c r="H168" s="7"/>
      <c r="I168" s="7"/>
      <c r="J168" s="7"/>
      <c r="K168" s="62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 ht="15.75" customHeight="1">
      <c r="A169" s="6"/>
      <c r="B169" s="7"/>
      <c r="C169" s="7"/>
      <c r="D169" s="7"/>
      <c r="E169" s="7"/>
      <c r="F169" s="7"/>
      <c r="G169" s="7"/>
      <c r="H169" s="7"/>
      <c r="I169" s="7"/>
      <c r="J169" s="7"/>
      <c r="K169" s="62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 ht="15.75" customHeight="1">
      <c r="A170" s="6"/>
      <c r="B170" s="7"/>
      <c r="C170" s="7"/>
      <c r="D170" s="7"/>
      <c r="E170" s="7"/>
      <c r="F170" s="7"/>
      <c r="G170" s="7"/>
      <c r="H170" s="7"/>
      <c r="I170" s="7"/>
      <c r="J170" s="7"/>
      <c r="K170" s="62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 ht="15.75" customHeight="1">
      <c r="A171" s="6"/>
      <c r="B171" s="7"/>
      <c r="C171" s="7"/>
      <c r="D171" s="7"/>
      <c r="E171" s="7"/>
      <c r="F171" s="7"/>
      <c r="G171" s="7"/>
      <c r="H171" s="7"/>
      <c r="I171" s="7"/>
      <c r="J171" s="7"/>
      <c r="K171" s="62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62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62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62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62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62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62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62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62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62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62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62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62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62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62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62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62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62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62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62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62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62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62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62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62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62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62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62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62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62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62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62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62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62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62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62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62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62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62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62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62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62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62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62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62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62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62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62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62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62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spans="1:25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62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spans="1:25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62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1:25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62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1:25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62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spans="1: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62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spans="1:25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62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spans="1:25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62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spans="1:25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62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spans="1:25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62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1:25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62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spans="1:25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62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1:25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62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spans="1:25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62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spans="1:25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62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spans="1:2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62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spans="1:25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62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spans="1:25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62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1:25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62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1:25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62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1:25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62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spans="1:25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62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spans="1:25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62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spans="1:25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62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1:25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62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1:2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62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1:25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62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spans="1:25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62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spans="1:25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62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1:25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62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1:25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62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spans="1:25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62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1:25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62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spans="1:25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62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spans="1:25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62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spans="1:2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62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1:25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62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spans="1:25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62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5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62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spans="1:25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62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spans="1:25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62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spans="1:25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62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spans="1:25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62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spans="1:25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62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spans="1:25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62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spans="1:2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62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spans="1:25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62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spans="1:25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62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spans="1:25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62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spans="1:25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62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spans="1:25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62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spans="1:25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62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spans="1:25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62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spans="1:25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62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spans="1:25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62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spans="1:2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62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spans="1:25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62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spans="1:25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62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spans="1:25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62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spans="1:25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62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spans="1:25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62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spans="1:25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62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spans="1:25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62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spans="1:25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62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spans="1:25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62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spans="1:2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62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spans="1:25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62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spans="1:25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62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spans="1:25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62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spans="1:25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62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spans="1:25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62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spans="1:25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62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spans="1:25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62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spans="1:25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62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spans="1:25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62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spans="1:2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62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spans="1:25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62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spans="1:25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62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spans="1:25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62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spans="1:25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62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spans="1:25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62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spans="1:25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62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spans="1:25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62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spans="1:25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62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spans="1:25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62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spans="1:2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62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spans="1:25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62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spans="1:25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62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spans="1:25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62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spans="1:25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62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spans="1:25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62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spans="1:25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62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spans="1:25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62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spans="1:25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62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spans="1:25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62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spans="1:2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62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spans="1:25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62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spans="1:25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62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spans="1:25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62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spans="1:25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62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spans="1:25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62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spans="1:25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62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spans="1:25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62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spans="1:25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62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spans="1:25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62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spans="1: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62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spans="1:25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62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spans="1:25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62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spans="1:25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62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spans="1:25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62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spans="1:25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62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spans="1:25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62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spans="1:25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62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spans="1:25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62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spans="1:25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62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spans="1:2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62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spans="1:25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62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spans="1:25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62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spans="1:25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62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spans="1:25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62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spans="1:25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62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spans="1:25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62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spans="1:25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62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spans="1:25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62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spans="1:25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62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spans="1:2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62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spans="1:25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62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spans="1:25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62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spans="1:25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62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spans="1:25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62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spans="1:25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62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spans="1:25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62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spans="1:25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62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spans="1:25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62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spans="1:25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62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spans="1:2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62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spans="1:25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62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spans="1:25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62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spans="1:25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62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spans="1:25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62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spans="1:25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62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spans="1:25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62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spans="1:25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62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spans="1:25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62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spans="1:25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62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spans="1:2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62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spans="1:25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62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spans="1:25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62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spans="1:25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62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I2"/>
    <mergeCell ref="A3:I3"/>
    <mergeCell ref="A4:E4"/>
    <mergeCell ref="F4:I4"/>
    <mergeCell ref="A16:I16"/>
    <mergeCell ref="A17:D17"/>
    <mergeCell ref="E17:I17"/>
  </mergeCells>
  <dataValidations count="4">
    <dataValidation type="list" allowBlank="1" showErrorMessage="1" sqref="H97:H100 H122:H125" xr:uid="{B8BBF880-FBC3-4C0E-9318-81E6EF355F55}">
      <formula1>"Pending,Sent,Followed Up,Responded"</formula1>
    </dataValidation>
    <dataValidation type="list" allowBlank="1" showErrorMessage="1" sqref="H19:H43 H45:H52 H54:H55 H57:H60 H62:H71 H73:H90 H92:H95 H101:H120 H126:H168" xr:uid="{96D0E80D-8A65-42FE-84A2-965C28AFCC35}">
      <formula1>"Pending,Sent,Followed Up,Responded,Completed"</formula1>
    </dataValidation>
    <dataValidation type="list" allowBlank="1" showErrorMessage="1" sqref="H72" xr:uid="{5A226191-F023-4DBB-B1A5-E9DB07D889C2}">
      <formula1>"Pending,Sent,Followed Up,Responded,OOO"</formula1>
    </dataValidation>
    <dataValidation type="list" allowBlank="1" showErrorMessage="1" sqref="H44 H53 H56 H61 H91 H96 H121" xr:uid="{C124DC3D-16F5-449E-AE25-4D6E3DAED1E8}">
      <formula1>"Pending,Sent,Followed Up,Responded,Bounced"</formula1>
    </dataValidation>
  </dataValidations>
  <hyperlinks>
    <hyperlink ref="A1" location="OVERVIEW!A1" display="JP Morgan Application Tracker" xr:uid="{589374A3-7CDB-49F6-BA42-4FF0B05A7C97}"/>
    <hyperlink ref="E19" r:id="rId1" xr:uid="{9C1153AF-9820-4731-9AD4-18CCEDAE2334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3AC12-4777-4957-A304-4950C42B1122}">
  <sheetPr>
    <outlinePr summaryBelow="0" summaryRight="0"/>
  </sheetPr>
  <dimension ref="A1:Y1000"/>
  <sheetViews>
    <sheetView workbookViewId="0">
      <pane ySplit="2" topLeftCell="A3" activePane="bottomLeft" state="frozen"/>
      <selection pane="bottomLeft" activeCell="B28" sqref="B28"/>
    </sheetView>
  </sheetViews>
  <sheetFormatPr defaultColWidth="12.6328125" defaultRowHeight="15" customHeight="1"/>
  <cols>
    <col min="1" max="1" width="3.90625" customWidth="1"/>
    <col min="2" max="2" width="23.36328125" customWidth="1"/>
    <col min="3" max="3" width="29.26953125" customWidth="1"/>
    <col min="4" max="4" width="14.90625" customWidth="1"/>
    <col min="5" max="6" width="14" customWidth="1"/>
    <col min="7" max="8" width="12.26953125" customWidth="1"/>
    <col min="9" max="9" width="50.90625" customWidth="1"/>
  </cols>
  <sheetData>
    <row r="1" spans="1:25" ht="24.75" customHeight="1">
      <c r="A1" s="115" t="s">
        <v>887</v>
      </c>
      <c r="B1" s="72"/>
      <c r="C1" s="72"/>
      <c r="D1" s="72"/>
      <c r="E1" s="72"/>
      <c r="F1" s="72"/>
      <c r="G1" s="72"/>
      <c r="H1" s="72"/>
      <c r="I1" s="72"/>
      <c r="J1" s="7"/>
      <c r="K1" s="62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15.75" customHeight="1">
      <c r="A2" s="72"/>
      <c r="B2" s="72"/>
      <c r="C2" s="72"/>
      <c r="D2" s="72"/>
      <c r="E2" s="72"/>
      <c r="F2" s="72"/>
      <c r="G2" s="72"/>
      <c r="H2" s="72"/>
      <c r="I2" s="72"/>
      <c r="J2" s="7"/>
      <c r="K2" s="62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10.5" customHeight="1">
      <c r="A3" s="97"/>
      <c r="B3" s="72"/>
      <c r="C3" s="72"/>
      <c r="D3" s="72"/>
      <c r="E3" s="72"/>
      <c r="F3" s="72"/>
      <c r="G3" s="72"/>
      <c r="H3" s="72"/>
      <c r="I3" s="72"/>
      <c r="J3" s="7"/>
      <c r="K3" s="62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15.75" customHeight="1">
      <c r="A4" s="99" t="s">
        <v>564</v>
      </c>
      <c r="B4" s="72"/>
      <c r="C4" s="72"/>
      <c r="D4" s="72"/>
      <c r="E4" s="72"/>
      <c r="F4" s="100" t="s">
        <v>566</v>
      </c>
      <c r="G4" s="72"/>
      <c r="H4" s="72"/>
      <c r="I4" s="72"/>
      <c r="J4" s="63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5.75" customHeight="1">
      <c r="A5" s="51" t="s">
        <v>6</v>
      </c>
      <c r="B5" s="52" t="s">
        <v>567</v>
      </c>
      <c r="C5" s="52" t="s">
        <v>568</v>
      </c>
      <c r="D5" s="52" t="s">
        <v>569</v>
      </c>
      <c r="E5" s="52" t="s">
        <v>571</v>
      </c>
      <c r="F5" s="52" t="s">
        <v>572</v>
      </c>
      <c r="G5" s="52" t="s">
        <v>566</v>
      </c>
      <c r="H5" s="52" t="s">
        <v>573</v>
      </c>
      <c r="I5" s="52" t="s">
        <v>574</v>
      </c>
      <c r="J5" s="63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15.75" customHeight="1">
      <c r="A6" s="7">
        <v>1</v>
      </c>
      <c r="B6" s="7"/>
      <c r="C6" s="7"/>
      <c r="D6" s="7"/>
      <c r="E6" s="14"/>
      <c r="F6" s="14"/>
      <c r="G6" s="53"/>
      <c r="H6" s="7"/>
      <c r="I6" s="7"/>
      <c r="J6" s="63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15.75" customHeight="1">
      <c r="A7" s="7">
        <v>2</v>
      </c>
      <c r="B7" s="7"/>
      <c r="C7" s="7"/>
      <c r="D7" s="7"/>
      <c r="E7" s="14"/>
      <c r="F7" s="14"/>
      <c r="G7" s="53"/>
      <c r="H7" s="7"/>
      <c r="I7" s="7"/>
      <c r="J7" s="63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15.75" customHeight="1">
      <c r="A8" s="7">
        <v>3</v>
      </c>
      <c r="B8" s="7"/>
      <c r="C8" s="7"/>
      <c r="D8" s="7"/>
      <c r="E8" s="14"/>
      <c r="F8" s="14"/>
      <c r="G8" s="53"/>
      <c r="H8" s="7"/>
      <c r="I8" s="14"/>
      <c r="J8" s="63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5.75" customHeight="1">
      <c r="A9" s="7">
        <v>4</v>
      </c>
      <c r="B9" s="7"/>
      <c r="C9" s="7"/>
      <c r="D9" s="7"/>
      <c r="E9" s="14"/>
      <c r="F9" s="7"/>
      <c r="G9" s="53"/>
      <c r="H9" s="7"/>
      <c r="I9" s="7"/>
      <c r="J9" s="63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5.75" customHeight="1">
      <c r="A10" s="7">
        <v>5</v>
      </c>
      <c r="B10" s="7"/>
      <c r="C10" s="7"/>
      <c r="D10" s="7"/>
      <c r="E10" s="14"/>
      <c r="F10" s="7"/>
      <c r="G10" s="53"/>
      <c r="H10" s="7"/>
      <c r="I10" s="7"/>
      <c r="J10" s="63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5.75" customHeight="1">
      <c r="A11" s="7">
        <v>6</v>
      </c>
      <c r="B11" s="7"/>
      <c r="C11" s="7"/>
      <c r="D11" s="7"/>
      <c r="E11" s="14"/>
      <c r="F11" s="7"/>
      <c r="G11" s="53"/>
      <c r="H11" s="7"/>
      <c r="I11" s="7"/>
      <c r="J11" s="63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15.75" customHeight="1">
      <c r="A12" s="7">
        <v>7</v>
      </c>
      <c r="B12" s="7"/>
      <c r="C12" s="7"/>
      <c r="D12" s="7"/>
      <c r="E12" s="14"/>
      <c r="F12" s="7"/>
      <c r="G12" s="53"/>
      <c r="H12" s="7"/>
      <c r="I12" s="7"/>
      <c r="J12" s="63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15.75" customHeight="1">
      <c r="A13" s="7">
        <v>8</v>
      </c>
      <c r="B13" s="7"/>
      <c r="C13" s="7"/>
      <c r="D13" s="7"/>
      <c r="E13" s="14"/>
      <c r="F13" s="7"/>
      <c r="G13" s="53"/>
      <c r="H13" s="7"/>
      <c r="I13" s="7"/>
      <c r="J13" s="63"/>
      <c r="K13" s="64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15.75" customHeight="1">
      <c r="A14" s="7">
        <v>9</v>
      </c>
      <c r="B14" s="7"/>
      <c r="C14" s="7"/>
      <c r="D14" s="7"/>
      <c r="E14" s="14"/>
      <c r="F14" s="7"/>
      <c r="G14" s="60"/>
      <c r="H14" s="7"/>
      <c r="I14" s="7"/>
      <c r="J14" s="63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5.75" customHeight="1">
      <c r="A15" s="7">
        <v>10</v>
      </c>
      <c r="B15" s="7"/>
      <c r="C15" s="7"/>
      <c r="D15" s="7"/>
      <c r="E15" s="14"/>
      <c r="F15" s="7"/>
      <c r="G15" s="53"/>
      <c r="H15" s="7"/>
      <c r="I15" s="7"/>
      <c r="J15" s="63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0.5" customHeight="1">
      <c r="A16" s="97"/>
      <c r="B16" s="72"/>
      <c r="C16" s="72"/>
      <c r="D16" s="72"/>
      <c r="E16" s="72"/>
      <c r="F16" s="72"/>
      <c r="G16" s="72"/>
      <c r="H16" s="72"/>
      <c r="I16" s="72"/>
      <c r="J16" s="7"/>
      <c r="K16" s="62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ht="15.75" customHeight="1">
      <c r="A17" s="99" t="s">
        <v>564</v>
      </c>
      <c r="B17" s="72"/>
      <c r="C17" s="72"/>
      <c r="D17" s="72"/>
      <c r="E17" s="100" t="s">
        <v>598</v>
      </c>
      <c r="F17" s="72"/>
      <c r="G17" s="72"/>
      <c r="H17" s="72"/>
      <c r="I17" s="72"/>
      <c r="J17" s="7"/>
      <c r="K17" s="62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ht="15.75" customHeight="1">
      <c r="A18" s="52" t="s">
        <v>6</v>
      </c>
      <c r="B18" s="52" t="s">
        <v>567</v>
      </c>
      <c r="C18" s="52" t="s">
        <v>568</v>
      </c>
      <c r="D18" s="52" t="s">
        <v>569</v>
      </c>
      <c r="E18" s="52" t="s">
        <v>600</v>
      </c>
      <c r="F18" s="52"/>
      <c r="G18" s="52"/>
      <c r="H18" s="52" t="s">
        <v>604</v>
      </c>
      <c r="I18" s="52" t="s">
        <v>605</v>
      </c>
      <c r="J18" s="7"/>
      <c r="K18" s="62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ht="15.75" customHeight="1">
      <c r="A19" s="7">
        <v>1</v>
      </c>
      <c r="B19" s="7" t="s">
        <v>889</v>
      </c>
      <c r="C19" s="7"/>
      <c r="D19" s="7" t="s">
        <v>785</v>
      </c>
      <c r="E19" s="103" t="s">
        <v>888</v>
      </c>
      <c r="F19" s="7"/>
      <c r="G19" s="7"/>
      <c r="H19" s="7"/>
      <c r="I19" s="7" t="s">
        <v>890</v>
      </c>
      <c r="J19" s="7"/>
      <c r="K19" s="62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ht="15.75" customHeight="1">
      <c r="A20" s="7">
        <v>2</v>
      </c>
      <c r="B20" s="7" t="s">
        <v>891</v>
      </c>
      <c r="C20" s="7"/>
      <c r="D20" s="7" t="s">
        <v>702</v>
      </c>
      <c r="E20" s="103" t="s">
        <v>892</v>
      </c>
      <c r="F20" s="7"/>
      <c r="G20" s="7"/>
      <c r="H20" s="7"/>
      <c r="I20" s="7" t="s">
        <v>890</v>
      </c>
      <c r="J20" s="7"/>
      <c r="K20" s="62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ht="15.75" customHeight="1">
      <c r="A21" s="7">
        <v>3</v>
      </c>
      <c r="B21" s="7" t="s">
        <v>893</v>
      </c>
      <c r="C21" s="7"/>
      <c r="D21" s="7" t="s">
        <v>705</v>
      </c>
      <c r="E21" s="56" t="s">
        <v>894</v>
      </c>
      <c r="F21" s="7"/>
      <c r="G21" s="7"/>
      <c r="H21" s="7"/>
      <c r="I21" s="7" t="s">
        <v>890</v>
      </c>
      <c r="J21" s="7"/>
      <c r="K21" s="62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ht="15.75" customHeight="1">
      <c r="A22" s="6">
        <v>4</v>
      </c>
      <c r="B22" s="7" t="s">
        <v>895</v>
      </c>
      <c r="C22" s="7"/>
      <c r="D22" s="7" t="s">
        <v>702</v>
      </c>
      <c r="E22" s="7" t="s">
        <v>896</v>
      </c>
      <c r="F22" s="7"/>
      <c r="G22" s="7"/>
      <c r="H22" s="7"/>
      <c r="I22" s="7" t="s">
        <v>867</v>
      </c>
      <c r="J22" s="7"/>
      <c r="K22" s="62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ht="15.75" customHeight="1">
      <c r="A23" s="6">
        <v>5</v>
      </c>
      <c r="B23" s="7" t="s">
        <v>897</v>
      </c>
      <c r="C23" s="7"/>
      <c r="D23" s="7" t="s">
        <v>702</v>
      </c>
      <c r="E23" s="7" t="s">
        <v>898</v>
      </c>
      <c r="F23" s="7"/>
      <c r="G23" s="7"/>
      <c r="H23" s="7"/>
      <c r="I23" s="7" t="s">
        <v>867</v>
      </c>
      <c r="J23" s="7"/>
      <c r="K23" s="62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ht="15.75" customHeight="1">
      <c r="A24" s="6">
        <v>6</v>
      </c>
      <c r="B24" s="7" t="s">
        <v>901</v>
      </c>
      <c r="C24" s="7"/>
      <c r="D24" s="7" t="s">
        <v>899</v>
      </c>
      <c r="E24" s="41" t="s">
        <v>900</v>
      </c>
      <c r="F24" s="7"/>
      <c r="G24" s="7"/>
      <c r="H24" s="7"/>
      <c r="I24" s="7" t="s">
        <v>867</v>
      </c>
      <c r="J24" s="7"/>
      <c r="K24" s="62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ht="15.75" customHeight="1">
      <c r="A25" s="6">
        <v>7</v>
      </c>
      <c r="B25" s="7" t="s">
        <v>902</v>
      </c>
      <c r="C25" s="7"/>
      <c r="D25" s="7" t="s">
        <v>705</v>
      </c>
      <c r="E25" s="103" t="s">
        <v>903</v>
      </c>
      <c r="F25" s="7"/>
      <c r="G25" s="7"/>
      <c r="H25" s="7"/>
      <c r="I25" s="7" t="s">
        <v>890</v>
      </c>
      <c r="J25" s="7"/>
      <c r="K25" s="62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ht="15.75" customHeight="1">
      <c r="A26" s="6">
        <v>8</v>
      </c>
      <c r="B26" s="7" t="s">
        <v>905</v>
      </c>
      <c r="C26" s="7"/>
      <c r="D26" s="7" t="s">
        <v>711</v>
      </c>
      <c r="E26" s="41" t="s">
        <v>904</v>
      </c>
      <c r="F26" s="7"/>
      <c r="G26" s="7"/>
      <c r="H26" s="7"/>
      <c r="I26" s="7" t="s">
        <v>867</v>
      </c>
      <c r="J26" s="7"/>
      <c r="K26" s="62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 ht="15.75" customHeight="1">
      <c r="A27" s="6">
        <v>9</v>
      </c>
      <c r="B27" s="7" t="s">
        <v>906</v>
      </c>
      <c r="C27" s="7"/>
      <c r="D27" s="7" t="s">
        <v>711</v>
      </c>
      <c r="E27" s="41" t="s">
        <v>907</v>
      </c>
      <c r="F27" s="7"/>
      <c r="G27" s="7"/>
      <c r="H27" s="7"/>
      <c r="I27" s="7" t="s">
        <v>867</v>
      </c>
      <c r="J27" s="7"/>
      <c r="K27" s="62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ht="15.75" customHeight="1">
      <c r="A28" s="6">
        <v>10</v>
      </c>
      <c r="B28" s="7"/>
      <c r="C28" s="7"/>
      <c r="D28" s="7"/>
      <c r="E28" s="41"/>
      <c r="F28" s="7"/>
      <c r="G28" s="7"/>
      <c r="H28" s="7"/>
      <c r="I28" s="7"/>
      <c r="J28" s="7"/>
      <c r="K28" s="62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ht="15.75" customHeight="1">
      <c r="A29" s="6">
        <v>11</v>
      </c>
      <c r="B29" s="7"/>
      <c r="C29" s="7"/>
      <c r="D29" s="7"/>
      <c r="E29" s="41"/>
      <c r="F29" s="7"/>
      <c r="G29" s="7"/>
      <c r="H29" s="7"/>
      <c r="I29" s="7"/>
      <c r="J29" s="7"/>
      <c r="K29" s="62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ht="15.75" customHeight="1">
      <c r="A30" s="6">
        <v>12</v>
      </c>
      <c r="B30" s="7"/>
      <c r="C30" s="7"/>
      <c r="D30" s="7"/>
      <c r="E30" s="41"/>
      <c r="F30" s="7"/>
      <c r="G30" s="7"/>
      <c r="H30" s="7"/>
      <c r="I30" s="7"/>
      <c r="J30" s="7"/>
      <c r="K30" s="62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ht="15.75" customHeight="1">
      <c r="A31" s="6">
        <v>13</v>
      </c>
      <c r="B31" s="7"/>
      <c r="C31" s="7"/>
      <c r="D31" s="7"/>
      <c r="E31" s="41"/>
      <c r="F31" s="7"/>
      <c r="G31" s="7"/>
      <c r="H31" s="7"/>
      <c r="I31" s="7"/>
      <c r="J31" s="7"/>
      <c r="K31" s="62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ht="15.75" customHeight="1">
      <c r="A32" s="6">
        <v>14</v>
      </c>
      <c r="B32" s="7"/>
      <c r="C32" s="7"/>
      <c r="D32" s="7"/>
      <c r="E32" s="41"/>
      <c r="F32" s="7"/>
      <c r="G32" s="7"/>
      <c r="H32" s="7"/>
      <c r="I32" s="7"/>
      <c r="J32" s="7"/>
      <c r="K32" s="62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ht="15.75" customHeight="1">
      <c r="A33" s="6">
        <v>15</v>
      </c>
      <c r="B33" s="7"/>
      <c r="C33" s="7"/>
      <c r="D33" s="7"/>
      <c r="E33" s="41"/>
      <c r="F33" s="7"/>
      <c r="G33" s="7"/>
      <c r="H33" s="7"/>
      <c r="I33" s="7"/>
      <c r="J33" s="7"/>
      <c r="K33" s="62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ht="15.75" customHeight="1">
      <c r="A34" s="6">
        <v>16</v>
      </c>
      <c r="B34" s="7"/>
      <c r="C34" s="7"/>
      <c r="D34" s="7"/>
      <c r="E34" s="41"/>
      <c r="F34" s="7"/>
      <c r="G34" s="7"/>
      <c r="H34" s="7"/>
      <c r="I34" s="7"/>
      <c r="J34" s="7"/>
      <c r="K34" s="62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ht="15.75" customHeight="1">
      <c r="A35" s="6">
        <v>17</v>
      </c>
      <c r="B35" s="7"/>
      <c r="C35" s="7"/>
      <c r="D35" s="7"/>
      <c r="E35" s="41"/>
      <c r="F35" s="7"/>
      <c r="G35" s="7"/>
      <c r="H35" s="7"/>
      <c r="I35" s="7"/>
      <c r="J35" s="7"/>
      <c r="K35" s="62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ht="15.75" customHeight="1">
      <c r="A36" s="6">
        <v>18</v>
      </c>
      <c r="B36" s="7"/>
      <c r="C36" s="7"/>
      <c r="D36" s="7"/>
      <c r="E36" s="41"/>
      <c r="F36" s="7"/>
      <c r="G36" s="7"/>
      <c r="H36" s="7"/>
      <c r="I36" s="7"/>
      <c r="J36" s="7"/>
      <c r="K36" s="62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ht="15.75" customHeight="1">
      <c r="A37" s="6">
        <v>19</v>
      </c>
      <c r="B37" s="7"/>
      <c r="C37" s="7"/>
      <c r="D37" s="7"/>
      <c r="E37" s="56"/>
      <c r="F37" s="7"/>
      <c r="G37" s="7"/>
      <c r="H37" s="7"/>
      <c r="I37" s="7"/>
      <c r="J37" s="7"/>
      <c r="K37" s="62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ht="15.75" customHeight="1">
      <c r="A38" s="6">
        <v>20</v>
      </c>
      <c r="B38" s="7"/>
      <c r="C38" s="7"/>
      <c r="D38" s="7"/>
      <c r="E38" s="56"/>
      <c r="F38" s="7"/>
      <c r="G38" s="7"/>
      <c r="H38" s="7"/>
      <c r="I38" s="7"/>
      <c r="J38" s="7"/>
      <c r="K38" s="62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ht="15.75" customHeight="1">
      <c r="A39" s="6">
        <v>21</v>
      </c>
      <c r="B39" s="7"/>
      <c r="C39" s="7"/>
      <c r="D39" s="7"/>
      <c r="E39" s="56"/>
      <c r="F39" s="7"/>
      <c r="G39" s="7"/>
      <c r="H39" s="7"/>
      <c r="I39" s="7"/>
      <c r="J39" s="7"/>
      <c r="K39" s="62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ht="15.75" customHeight="1">
      <c r="A40" s="6">
        <v>22</v>
      </c>
      <c r="B40" s="7"/>
      <c r="C40" s="7"/>
      <c r="D40" s="7"/>
      <c r="E40" s="56"/>
      <c r="F40" s="7"/>
      <c r="G40" s="7"/>
      <c r="H40" s="7"/>
      <c r="I40" s="7"/>
      <c r="J40" s="7"/>
      <c r="K40" s="62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ht="15.75" customHeight="1">
      <c r="A41" s="6">
        <v>23</v>
      </c>
      <c r="B41" s="7"/>
      <c r="C41" s="7"/>
      <c r="D41" s="7"/>
      <c r="E41" s="41"/>
      <c r="F41" s="7"/>
      <c r="G41" s="7"/>
      <c r="H41" s="7"/>
      <c r="I41" s="7"/>
      <c r="J41" s="7"/>
      <c r="K41" s="62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ht="15.75" customHeight="1">
      <c r="A42" s="6">
        <v>24</v>
      </c>
      <c r="B42" s="7"/>
      <c r="C42" s="7"/>
      <c r="D42" s="7"/>
      <c r="E42" s="41"/>
      <c r="F42" s="7"/>
      <c r="G42" s="7"/>
      <c r="H42" s="7"/>
      <c r="I42" s="7"/>
      <c r="J42" s="7"/>
      <c r="K42" s="62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ht="15.75" customHeight="1">
      <c r="A43" s="6">
        <v>25</v>
      </c>
      <c r="B43" s="7"/>
      <c r="C43" s="7"/>
      <c r="D43" s="7"/>
      <c r="E43" s="41"/>
      <c r="F43" s="7"/>
      <c r="G43" s="7"/>
      <c r="H43" s="7"/>
      <c r="I43" s="7"/>
      <c r="J43" s="7"/>
      <c r="K43" s="62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ht="15.75" customHeight="1">
      <c r="A44" s="6">
        <v>26</v>
      </c>
      <c r="B44" s="7"/>
      <c r="C44" s="7"/>
      <c r="D44" s="7"/>
      <c r="E44" s="41"/>
      <c r="F44" s="7"/>
      <c r="G44" s="7"/>
      <c r="H44" s="7"/>
      <c r="I44" s="7"/>
      <c r="J44" s="7"/>
      <c r="K44" s="62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ht="15.75" customHeight="1">
      <c r="A45" s="6">
        <v>27</v>
      </c>
      <c r="B45" s="7"/>
      <c r="C45" s="7"/>
      <c r="D45" s="7"/>
      <c r="E45" s="41"/>
      <c r="F45" s="7"/>
      <c r="G45" s="7"/>
      <c r="H45" s="7"/>
      <c r="I45" s="7"/>
      <c r="J45" s="7"/>
      <c r="K45" s="62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ht="15.75" customHeight="1">
      <c r="A46" s="6">
        <v>28</v>
      </c>
      <c r="B46" s="7"/>
      <c r="C46" s="7"/>
      <c r="D46" s="7"/>
      <c r="E46" s="56"/>
      <c r="F46" s="7"/>
      <c r="G46" s="7"/>
      <c r="H46" s="7"/>
      <c r="I46" s="7"/>
      <c r="J46" s="7"/>
      <c r="K46" s="62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ht="15.75" customHeight="1">
      <c r="A47" s="6">
        <v>29</v>
      </c>
      <c r="B47" s="7"/>
      <c r="C47" s="7"/>
      <c r="D47" s="7"/>
      <c r="E47" s="56"/>
      <c r="F47" s="7"/>
      <c r="G47" s="7"/>
      <c r="H47" s="7"/>
      <c r="I47" s="7"/>
      <c r="J47" s="7"/>
      <c r="K47" s="62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ht="15.75" customHeight="1">
      <c r="A48" s="6">
        <v>30</v>
      </c>
      <c r="B48" s="7"/>
      <c r="C48" s="7"/>
      <c r="D48" s="7"/>
      <c r="E48" s="56"/>
      <c r="F48" s="7"/>
      <c r="G48" s="7"/>
      <c r="H48" s="7"/>
      <c r="I48" s="7"/>
      <c r="J48" s="7"/>
      <c r="K48" s="62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ht="15.75" customHeight="1">
      <c r="A49" s="6">
        <v>31</v>
      </c>
      <c r="B49" s="7"/>
      <c r="C49" s="7"/>
      <c r="D49" s="7"/>
      <c r="E49" s="56"/>
      <c r="F49" s="7"/>
      <c r="G49" s="7"/>
      <c r="H49" s="7"/>
      <c r="I49" s="7"/>
      <c r="J49" s="7"/>
      <c r="K49" s="62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ht="15.75" customHeight="1">
      <c r="A50" s="6">
        <v>32</v>
      </c>
      <c r="B50" s="7"/>
      <c r="C50" s="7"/>
      <c r="D50" s="7"/>
      <c r="E50" s="41"/>
      <c r="F50" s="7"/>
      <c r="G50" s="7"/>
      <c r="H50" s="7"/>
      <c r="I50" s="7"/>
      <c r="J50" s="7"/>
      <c r="K50" s="62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ht="15.75" customHeight="1">
      <c r="A51" s="6">
        <v>33</v>
      </c>
      <c r="B51" s="7"/>
      <c r="C51" s="7"/>
      <c r="D51" s="7"/>
      <c r="E51" s="41"/>
      <c r="F51" s="7"/>
      <c r="G51" s="7"/>
      <c r="H51" s="7"/>
      <c r="I51" s="7"/>
      <c r="J51" s="7"/>
      <c r="K51" s="62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ht="15.75" customHeight="1">
      <c r="A52" s="6">
        <v>34</v>
      </c>
      <c r="B52" s="7"/>
      <c r="C52" s="7"/>
      <c r="D52" s="7"/>
      <c r="E52" s="41"/>
      <c r="F52" s="7"/>
      <c r="G52" s="7"/>
      <c r="H52" s="7"/>
      <c r="I52" s="7"/>
      <c r="J52" s="7"/>
      <c r="K52" s="62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 ht="15.75" customHeight="1">
      <c r="A53" s="6">
        <v>35</v>
      </c>
      <c r="B53" s="7"/>
      <c r="C53" s="7"/>
      <c r="D53" s="7"/>
      <c r="E53" s="7"/>
      <c r="F53" s="7"/>
      <c r="G53" s="7"/>
      <c r="H53" s="7"/>
      <c r="I53" s="7"/>
      <c r="J53" s="7"/>
      <c r="K53" s="62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 ht="15.75" customHeight="1">
      <c r="A54" s="6">
        <v>36</v>
      </c>
      <c r="B54" s="7"/>
      <c r="C54" s="7"/>
      <c r="D54" s="7"/>
      <c r="E54" s="7"/>
      <c r="F54" s="7"/>
      <c r="G54" s="7"/>
      <c r="H54" s="7"/>
      <c r="I54" s="7"/>
      <c r="J54" s="7"/>
      <c r="K54" s="62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 ht="15.75" customHeight="1">
      <c r="A55" s="6">
        <v>37</v>
      </c>
      <c r="B55" s="7"/>
      <c r="C55" s="7"/>
      <c r="D55" s="7"/>
      <c r="E55" s="41"/>
      <c r="F55" s="7"/>
      <c r="G55" s="7"/>
      <c r="H55" s="7"/>
      <c r="I55" s="7"/>
      <c r="J55" s="7"/>
      <c r="K55" s="62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 ht="15.75" customHeight="1">
      <c r="A56" s="6">
        <v>38</v>
      </c>
      <c r="B56" s="7"/>
      <c r="C56" s="7"/>
      <c r="D56" s="7"/>
      <c r="E56" s="7"/>
      <c r="F56" s="7"/>
      <c r="G56" s="7"/>
      <c r="H56" s="7"/>
      <c r="I56" s="7"/>
      <c r="J56" s="7"/>
      <c r="K56" s="62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 ht="15.75" customHeight="1">
      <c r="A57" s="6">
        <v>39</v>
      </c>
      <c r="B57" s="7"/>
      <c r="C57" s="7"/>
      <c r="D57" s="7"/>
      <c r="E57" s="7"/>
      <c r="F57" s="7"/>
      <c r="G57" s="7"/>
      <c r="H57" s="7"/>
      <c r="I57" s="7"/>
      <c r="J57" s="7"/>
      <c r="K57" s="62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 ht="15.75" customHeight="1">
      <c r="A58" s="6">
        <v>40</v>
      </c>
      <c r="B58" s="7"/>
      <c r="C58" s="7"/>
      <c r="D58" s="7"/>
      <c r="E58" s="41"/>
      <c r="F58" s="7"/>
      <c r="G58" s="7"/>
      <c r="H58" s="7"/>
      <c r="I58" s="7"/>
      <c r="J58" s="7"/>
      <c r="K58" s="62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ht="15.75" customHeight="1">
      <c r="A59" s="6">
        <v>41</v>
      </c>
      <c r="B59" s="7"/>
      <c r="C59" s="7"/>
      <c r="D59" s="7"/>
      <c r="E59" s="41"/>
      <c r="F59" s="7"/>
      <c r="G59" s="7"/>
      <c r="H59" s="7"/>
      <c r="I59" s="7"/>
      <c r="J59" s="7"/>
      <c r="K59" s="62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ht="15.75" customHeight="1">
      <c r="A60" s="6">
        <v>42</v>
      </c>
      <c r="B60" s="7"/>
      <c r="C60" s="7"/>
      <c r="D60" s="7"/>
      <c r="E60" s="41"/>
      <c r="F60" s="7"/>
      <c r="G60" s="7"/>
      <c r="H60" s="7"/>
      <c r="I60" s="7"/>
      <c r="J60" s="7"/>
      <c r="K60" s="62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ht="15.75" customHeight="1">
      <c r="A61" s="6">
        <v>43</v>
      </c>
      <c r="B61" s="7"/>
      <c r="C61" s="7"/>
      <c r="D61" s="7"/>
      <c r="E61" s="41"/>
      <c r="F61" s="7"/>
      <c r="G61" s="7"/>
      <c r="H61" s="7"/>
      <c r="I61" s="7"/>
      <c r="J61" s="7"/>
      <c r="K61" s="62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 ht="15.75" customHeight="1">
      <c r="A62" s="6">
        <v>44</v>
      </c>
      <c r="B62" s="7"/>
      <c r="C62" s="7"/>
      <c r="D62" s="7"/>
      <c r="E62" s="41"/>
      <c r="F62" s="7"/>
      <c r="G62" s="7"/>
      <c r="H62" s="7"/>
      <c r="I62" s="7"/>
      <c r="J62" s="7"/>
      <c r="K62" s="62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 ht="15.75" customHeight="1">
      <c r="A63" s="6">
        <v>45</v>
      </c>
      <c r="B63" s="7"/>
      <c r="C63" s="7"/>
      <c r="D63" s="7"/>
      <c r="E63" s="41"/>
      <c r="F63" s="7"/>
      <c r="G63" s="7"/>
      <c r="H63" s="7"/>
      <c r="I63" s="7"/>
      <c r="J63" s="7"/>
      <c r="K63" s="62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 ht="15.75" customHeight="1">
      <c r="A64" s="6">
        <v>46</v>
      </c>
      <c r="B64" s="7"/>
      <c r="C64" s="7"/>
      <c r="D64" s="7"/>
      <c r="E64" s="7"/>
      <c r="F64" s="7"/>
      <c r="G64" s="7"/>
      <c r="H64" s="7"/>
      <c r="I64" s="7"/>
      <c r="J64" s="7"/>
      <c r="K64" s="62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 ht="15.75" customHeight="1">
      <c r="A65" s="6">
        <v>47</v>
      </c>
      <c r="B65" s="7"/>
      <c r="C65" s="7"/>
      <c r="D65" s="7"/>
      <c r="E65" s="41"/>
      <c r="F65" s="7"/>
      <c r="G65" s="7"/>
      <c r="H65" s="7"/>
      <c r="I65" s="7"/>
      <c r="J65" s="7"/>
      <c r="K65" s="62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 ht="15.75" customHeight="1">
      <c r="A66" s="6">
        <v>48</v>
      </c>
      <c r="B66" s="7"/>
      <c r="C66" s="7"/>
      <c r="D66" s="7"/>
      <c r="E66" s="41"/>
      <c r="F66" s="7"/>
      <c r="G66" s="7"/>
      <c r="H66" s="7"/>
      <c r="I66" s="7"/>
      <c r="J66" s="7"/>
      <c r="K66" s="62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 ht="15.75" customHeight="1">
      <c r="A67" s="6">
        <v>49</v>
      </c>
      <c r="B67" s="7"/>
      <c r="C67" s="7"/>
      <c r="D67" s="7"/>
      <c r="E67" s="41"/>
      <c r="F67" s="7"/>
      <c r="G67" s="7"/>
      <c r="H67" s="7"/>
      <c r="I67" s="7"/>
      <c r="J67" s="7"/>
      <c r="K67" s="62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ht="15.75" customHeight="1">
      <c r="A68" s="6">
        <v>50</v>
      </c>
      <c r="B68" s="7"/>
      <c r="C68" s="7"/>
      <c r="D68" s="7"/>
      <c r="E68" s="41"/>
      <c r="F68" s="7"/>
      <c r="G68" s="7"/>
      <c r="H68" s="7"/>
      <c r="I68" s="7"/>
      <c r="J68" s="7"/>
      <c r="K68" s="62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ht="15.75" customHeight="1">
      <c r="A69" s="6">
        <v>51</v>
      </c>
      <c r="B69" s="7"/>
      <c r="C69" s="7"/>
      <c r="D69" s="7"/>
      <c r="E69" s="41"/>
      <c r="F69" s="7"/>
      <c r="G69" s="7"/>
      <c r="H69" s="7"/>
      <c r="I69" s="7"/>
      <c r="J69" s="65"/>
      <c r="K69" s="62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ht="15.75" customHeight="1">
      <c r="A70" s="6">
        <v>52</v>
      </c>
      <c r="B70" s="7"/>
      <c r="C70" s="7"/>
      <c r="D70" s="7"/>
      <c r="E70" s="41"/>
      <c r="F70" s="7"/>
      <c r="G70" s="7"/>
      <c r="H70" s="7"/>
      <c r="I70" s="7"/>
      <c r="J70" s="65"/>
      <c r="K70" s="62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 ht="15.75" customHeight="1">
      <c r="A71" s="6">
        <v>53</v>
      </c>
      <c r="B71" s="7"/>
      <c r="C71" s="7"/>
      <c r="D71" s="7"/>
      <c r="E71" s="7"/>
      <c r="F71" s="7"/>
      <c r="G71" s="7"/>
      <c r="H71" s="7"/>
      <c r="I71" s="7"/>
      <c r="J71" s="65"/>
      <c r="K71" s="62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 ht="15.75" customHeight="1">
      <c r="A72" s="6">
        <v>54</v>
      </c>
      <c r="B72" s="7"/>
      <c r="C72" s="7"/>
      <c r="D72" s="7"/>
      <c r="E72" s="41"/>
      <c r="F72" s="7"/>
      <c r="G72" s="7"/>
      <c r="H72" s="7"/>
      <c r="I72" s="7"/>
      <c r="J72" s="65"/>
      <c r="K72" s="62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 ht="15.75" customHeight="1">
      <c r="A73" s="6">
        <v>55</v>
      </c>
      <c r="B73" s="7"/>
      <c r="C73" s="7"/>
      <c r="D73" s="7"/>
      <c r="E73" s="41"/>
      <c r="F73" s="7"/>
      <c r="G73" s="7"/>
      <c r="H73" s="7"/>
      <c r="I73" s="7"/>
      <c r="J73" s="65"/>
      <c r="K73" s="62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 ht="15.75" customHeight="1">
      <c r="A74" s="6">
        <v>56</v>
      </c>
      <c r="B74" s="7"/>
      <c r="C74" s="7"/>
      <c r="D74" s="7"/>
      <c r="E74" s="41"/>
      <c r="F74" s="7"/>
      <c r="G74" s="7"/>
      <c r="H74" s="7"/>
      <c r="I74" s="7"/>
      <c r="J74" s="65"/>
      <c r="K74" s="62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 ht="15.75" customHeight="1">
      <c r="A75" s="6">
        <v>57</v>
      </c>
      <c r="B75" s="7"/>
      <c r="C75" s="7"/>
      <c r="D75" s="7"/>
      <c r="E75" s="41"/>
      <c r="F75" s="7"/>
      <c r="G75" s="7"/>
      <c r="H75" s="7"/>
      <c r="I75" s="7"/>
      <c r="J75" s="65"/>
      <c r="K75" s="62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 ht="15.75" customHeight="1">
      <c r="A76" s="6">
        <v>58</v>
      </c>
      <c r="B76" s="7"/>
      <c r="C76" s="7"/>
      <c r="D76" s="7"/>
      <c r="E76" s="7"/>
      <c r="F76" s="7"/>
      <c r="G76" s="7"/>
      <c r="H76" s="7"/>
      <c r="I76" s="7"/>
      <c r="J76" s="65"/>
      <c r="K76" s="62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ht="15.75" customHeight="1">
      <c r="A77" s="6">
        <v>59</v>
      </c>
      <c r="B77" s="7"/>
      <c r="C77" s="7"/>
      <c r="D77" s="7"/>
      <c r="E77" s="7"/>
      <c r="F77" s="7"/>
      <c r="G77" s="7"/>
      <c r="H77" s="7"/>
      <c r="I77" s="7"/>
      <c r="J77" s="65"/>
      <c r="K77" s="62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ht="15.75" customHeight="1">
      <c r="A78" s="6">
        <v>60</v>
      </c>
      <c r="B78" s="7"/>
      <c r="C78" s="7"/>
      <c r="D78" s="7"/>
      <c r="E78" s="41"/>
      <c r="F78" s="7"/>
      <c r="G78" s="7"/>
      <c r="H78" s="7"/>
      <c r="I78" s="7"/>
      <c r="J78" s="65"/>
      <c r="K78" s="62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ht="15.75" customHeight="1">
      <c r="A79" s="6">
        <v>61</v>
      </c>
      <c r="B79" s="7"/>
      <c r="C79" s="7"/>
      <c r="D79" s="7"/>
      <c r="E79" s="41"/>
      <c r="F79" s="7"/>
      <c r="G79" s="7"/>
      <c r="H79" s="7"/>
      <c r="I79" s="7"/>
      <c r="J79" s="7"/>
      <c r="K79" s="62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 ht="15.75" customHeight="1">
      <c r="A80" s="6">
        <v>62</v>
      </c>
      <c r="B80" s="7"/>
      <c r="C80" s="7"/>
      <c r="D80" s="7"/>
      <c r="E80" s="41"/>
      <c r="F80" s="7"/>
      <c r="G80" s="7"/>
      <c r="H80" s="7"/>
      <c r="I80" s="7"/>
      <c r="J80" s="66"/>
      <c r="K80" s="62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 ht="15.75" customHeight="1">
      <c r="A81" s="6">
        <v>63</v>
      </c>
      <c r="B81" s="7"/>
      <c r="C81" s="7"/>
      <c r="D81" s="7"/>
      <c r="E81" s="41"/>
      <c r="F81" s="7"/>
      <c r="G81" s="7"/>
      <c r="H81" s="7"/>
      <c r="I81" s="7"/>
      <c r="J81" s="66"/>
      <c r="K81" s="62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 ht="15.75" customHeight="1">
      <c r="A82" s="6">
        <v>64</v>
      </c>
      <c r="B82" s="7"/>
      <c r="C82" s="7"/>
      <c r="D82" s="7"/>
      <c r="E82" s="41"/>
      <c r="F82" s="7"/>
      <c r="G82" s="7"/>
      <c r="H82" s="7"/>
      <c r="I82" s="7"/>
      <c r="J82" s="7"/>
      <c r="K82" s="62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 ht="15.75" customHeight="1">
      <c r="A83" s="6">
        <v>65</v>
      </c>
      <c r="B83" s="7"/>
      <c r="C83" s="7"/>
      <c r="D83" s="7"/>
      <c r="E83" s="41"/>
      <c r="F83" s="7"/>
      <c r="G83" s="7"/>
      <c r="H83" s="7"/>
      <c r="I83" s="7"/>
      <c r="J83" s="66"/>
      <c r="K83" s="62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 ht="15.75" customHeight="1">
      <c r="A84" s="6">
        <v>66</v>
      </c>
      <c r="B84" s="7"/>
      <c r="C84" s="7"/>
      <c r="D84" s="7"/>
      <c r="E84" s="41"/>
      <c r="F84" s="7"/>
      <c r="G84" s="7"/>
      <c r="H84" s="7"/>
      <c r="I84" s="7"/>
      <c r="J84" s="66"/>
      <c r="K84" s="62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 ht="15.75" customHeight="1">
      <c r="A85" s="6">
        <v>67</v>
      </c>
      <c r="B85" s="7"/>
      <c r="C85" s="7"/>
      <c r="D85" s="7"/>
      <c r="E85" s="41"/>
      <c r="F85" s="7"/>
      <c r="G85" s="7"/>
      <c r="H85" s="7"/>
      <c r="I85" s="7"/>
      <c r="J85" s="7"/>
      <c r="K85" s="62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ht="15.75" customHeight="1">
      <c r="A86" s="6">
        <v>68</v>
      </c>
      <c r="B86" s="7"/>
      <c r="C86" s="7"/>
      <c r="D86" s="7"/>
      <c r="E86" s="41"/>
      <c r="F86" s="7"/>
      <c r="G86" s="7"/>
      <c r="H86" s="7"/>
      <c r="I86" s="7"/>
      <c r="J86" s="7"/>
      <c r="K86" s="62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ht="15.75" customHeight="1">
      <c r="A87" s="6">
        <v>69</v>
      </c>
      <c r="B87" s="7"/>
      <c r="C87" s="7"/>
      <c r="D87" s="7"/>
      <c r="E87" s="41"/>
      <c r="F87" s="7"/>
      <c r="G87" s="7"/>
      <c r="H87" s="7"/>
      <c r="I87" s="7"/>
      <c r="J87" s="66"/>
      <c r="K87" s="62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ht="15.75" customHeight="1">
      <c r="A88" s="6">
        <v>70</v>
      </c>
      <c r="B88" s="7"/>
      <c r="C88" s="7"/>
      <c r="D88" s="7"/>
      <c r="E88" s="41"/>
      <c r="F88" s="7"/>
      <c r="G88" s="7"/>
      <c r="H88" s="7"/>
      <c r="I88" s="7"/>
      <c r="J88" s="7"/>
      <c r="K88" s="62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 ht="15.75" customHeight="1">
      <c r="A89" s="6">
        <v>71</v>
      </c>
      <c r="B89" s="7"/>
      <c r="C89" s="7"/>
      <c r="D89" s="7"/>
      <c r="E89" s="41"/>
      <c r="F89" s="7"/>
      <c r="G89" s="7"/>
      <c r="H89" s="7"/>
      <c r="I89" s="7"/>
      <c r="J89" s="66"/>
      <c r="K89" s="62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 ht="15.75" customHeight="1">
      <c r="A90" s="6">
        <v>72</v>
      </c>
      <c r="B90" s="7"/>
      <c r="C90" s="7"/>
      <c r="D90" s="7"/>
      <c r="E90" s="41"/>
      <c r="F90" s="7"/>
      <c r="G90" s="7"/>
      <c r="H90" s="7"/>
      <c r="I90" s="7"/>
      <c r="J90" s="66"/>
      <c r="K90" s="62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 ht="15.75" customHeight="1">
      <c r="A91" s="6">
        <v>73</v>
      </c>
      <c r="B91" s="7"/>
      <c r="C91" s="7"/>
      <c r="D91" s="7"/>
      <c r="E91" s="41"/>
      <c r="F91" s="7"/>
      <c r="G91" s="7"/>
      <c r="H91" s="7"/>
      <c r="I91" s="7"/>
      <c r="J91" s="67"/>
      <c r="K91" s="62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 ht="15.75" customHeight="1">
      <c r="A92" s="6">
        <v>74</v>
      </c>
      <c r="B92" s="7"/>
      <c r="C92" s="7"/>
      <c r="D92" s="7"/>
      <c r="E92" s="41"/>
      <c r="F92" s="7"/>
      <c r="G92" s="7"/>
      <c r="H92" s="7"/>
      <c r="I92" s="7"/>
      <c r="J92" s="66"/>
      <c r="K92" s="62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 ht="15.75" customHeight="1">
      <c r="A93" s="6">
        <v>75</v>
      </c>
      <c r="B93" s="7"/>
      <c r="C93" s="7"/>
      <c r="D93" s="7"/>
      <c r="E93" s="41"/>
      <c r="F93" s="7"/>
      <c r="G93" s="7"/>
      <c r="H93" s="7"/>
      <c r="I93" s="7"/>
      <c r="J93" s="66"/>
      <c r="K93" s="62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 ht="15.75" customHeight="1">
      <c r="A94" s="6">
        <v>76</v>
      </c>
      <c r="B94" s="7"/>
      <c r="C94" s="7"/>
      <c r="D94" s="7"/>
      <c r="E94" s="56"/>
      <c r="F94" s="7"/>
      <c r="G94" s="7"/>
      <c r="H94" s="7"/>
      <c r="I94" s="7"/>
      <c r="J94" s="67"/>
      <c r="K94" s="62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ht="15.75" customHeight="1">
      <c r="A95" s="6">
        <v>77</v>
      </c>
      <c r="B95" s="7"/>
      <c r="C95" s="7"/>
      <c r="D95" s="7"/>
      <c r="E95" s="56"/>
      <c r="F95" s="7"/>
      <c r="G95" s="7"/>
      <c r="H95" s="7"/>
      <c r="I95" s="7"/>
      <c r="J95" s="66"/>
      <c r="K95" s="62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ht="15.75" customHeight="1">
      <c r="A96" s="6">
        <v>78</v>
      </c>
      <c r="B96" s="7"/>
      <c r="C96" s="7"/>
      <c r="D96" s="7"/>
      <c r="E96" s="41"/>
      <c r="F96" s="50"/>
      <c r="G96" s="50"/>
      <c r="H96" s="7"/>
      <c r="I96" s="7"/>
      <c r="J96" s="7"/>
      <c r="K96" s="62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ht="15.75" customHeight="1">
      <c r="A97" s="6">
        <v>79</v>
      </c>
      <c r="B97" s="7"/>
      <c r="C97" s="7"/>
      <c r="D97" s="7"/>
      <c r="E97" s="41"/>
      <c r="F97" s="50"/>
      <c r="G97" s="50"/>
      <c r="H97" s="50"/>
      <c r="I97" s="7"/>
      <c r="J97" s="7"/>
      <c r="K97" s="62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 ht="15.75" customHeight="1">
      <c r="A98" s="6">
        <v>80</v>
      </c>
      <c r="B98" s="7"/>
      <c r="C98" s="7"/>
      <c r="D98" s="7"/>
      <c r="E98" s="41"/>
      <c r="F98" s="50"/>
      <c r="G98" s="50"/>
      <c r="H98" s="50"/>
      <c r="I98" s="7"/>
      <c r="J98" s="7"/>
      <c r="K98" s="62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 ht="15.75" customHeight="1">
      <c r="A99" s="6">
        <v>81</v>
      </c>
      <c r="B99" s="7"/>
      <c r="C99" s="7"/>
      <c r="D99" s="7"/>
      <c r="E99" s="41"/>
      <c r="F99" s="50"/>
      <c r="G99" s="50"/>
      <c r="H99" s="50"/>
      <c r="I99" s="7"/>
      <c r="J99" s="7"/>
      <c r="K99" s="62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 ht="15.75" customHeight="1">
      <c r="A100" s="6">
        <v>82</v>
      </c>
      <c r="B100" s="7"/>
      <c r="C100" s="7"/>
      <c r="D100" s="7"/>
      <c r="E100" s="41"/>
      <c r="F100" s="50"/>
      <c r="G100" s="50"/>
      <c r="H100" s="50"/>
      <c r="I100" s="7"/>
      <c r="J100" s="7"/>
      <c r="K100" s="62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 ht="15.75" customHeight="1">
      <c r="A101" s="6">
        <v>83</v>
      </c>
      <c r="B101" s="7"/>
      <c r="C101" s="7"/>
      <c r="D101" s="7"/>
      <c r="E101" s="41"/>
      <c r="F101" s="50"/>
      <c r="G101" s="50"/>
      <c r="H101" s="50"/>
      <c r="I101" s="7"/>
      <c r="J101" s="7"/>
      <c r="K101" s="62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 ht="15.75" customHeight="1">
      <c r="A102" s="6">
        <v>84</v>
      </c>
      <c r="B102" s="7"/>
      <c r="C102" s="7"/>
      <c r="D102" s="7"/>
      <c r="E102" s="41"/>
      <c r="F102" s="50"/>
      <c r="G102" s="50"/>
      <c r="H102" s="50"/>
      <c r="I102" s="7"/>
      <c r="J102" s="7"/>
      <c r="K102" s="62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 ht="15.75" customHeight="1">
      <c r="A103" s="6">
        <v>85</v>
      </c>
      <c r="B103" s="7"/>
      <c r="C103" s="7"/>
      <c r="D103" s="7"/>
      <c r="E103" s="41"/>
      <c r="F103" s="50"/>
      <c r="G103" s="50"/>
      <c r="H103" s="50"/>
      <c r="I103" s="7"/>
      <c r="J103" s="7"/>
      <c r="K103" s="62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ht="15.75" customHeight="1">
      <c r="A104" s="6">
        <v>86</v>
      </c>
      <c r="B104" s="7"/>
      <c r="C104" s="50"/>
      <c r="D104" s="7"/>
      <c r="E104" s="41"/>
      <c r="F104" s="50"/>
      <c r="G104" s="50"/>
      <c r="H104" s="50"/>
      <c r="I104" s="7"/>
      <c r="J104" s="7"/>
      <c r="K104" s="62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ht="15.75" customHeight="1">
      <c r="A105" s="6">
        <v>87</v>
      </c>
      <c r="B105" s="7"/>
      <c r="C105" s="50"/>
      <c r="D105" s="7"/>
      <c r="E105" s="41"/>
      <c r="F105" s="50"/>
      <c r="G105" s="50"/>
      <c r="H105" s="50"/>
      <c r="I105" s="7"/>
      <c r="J105" s="7"/>
      <c r="K105" s="62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ht="15.75" customHeight="1">
      <c r="A106" s="6">
        <v>88</v>
      </c>
      <c r="B106" s="7"/>
      <c r="C106" s="7"/>
      <c r="D106" s="7"/>
      <c r="E106" s="41"/>
      <c r="F106" s="50"/>
      <c r="G106" s="50"/>
      <c r="H106" s="50"/>
      <c r="I106" s="7"/>
      <c r="J106" s="7"/>
      <c r="K106" s="62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 ht="15.75" customHeight="1">
      <c r="A107" s="6">
        <v>89</v>
      </c>
      <c r="B107" s="7"/>
      <c r="C107" s="50"/>
      <c r="D107" s="7"/>
      <c r="E107" s="41"/>
      <c r="F107" s="50"/>
      <c r="G107" s="50"/>
      <c r="H107" s="50"/>
      <c r="I107" s="7"/>
      <c r="J107" s="7"/>
      <c r="K107" s="62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 ht="15.75" customHeight="1">
      <c r="A108" s="6">
        <v>90</v>
      </c>
      <c r="B108" s="7"/>
      <c r="C108" s="50"/>
      <c r="D108" s="7"/>
      <c r="E108" s="41"/>
      <c r="F108" s="50"/>
      <c r="G108" s="50"/>
      <c r="H108" s="50"/>
      <c r="I108" s="7"/>
      <c r="J108" s="7"/>
      <c r="K108" s="62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 ht="15.75" customHeight="1">
      <c r="A109" s="6">
        <v>91</v>
      </c>
      <c r="B109" s="7"/>
      <c r="C109" s="50"/>
      <c r="D109" s="7"/>
      <c r="E109" s="41"/>
      <c r="F109" s="50"/>
      <c r="G109" s="50"/>
      <c r="H109" s="50"/>
      <c r="I109" s="7"/>
      <c r="J109" s="7"/>
      <c r="K109" s="62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 ht="15.75" customHeight="1">
      <c r="A110" s="6">
        <v>92</v>
      </c>
      <c r="B110" s="7"/>
      <c r="C110" s="7"/>
      <c r="D110" s="7"/>
      <c r="E110" s="41"/>
      <c r="F110" s="50"/>
      <c r="G110" s="50"/>
      <c r="H110" s="50"/>
      <c r="I110" s="7"/>
      <c r="J110" s="7"/>
      <c r="K110" s="62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 ht="15.75" customHeight="1">
      <c r="A111" s="6">
        <v>93</v>
      </c>
      <c r="B111" s="7"/>
      <c r="C111" s="50"/>
      <c r="D111" s="7"/>
      <c r="E111" s="41"/>
      <c r="F111" s="50"/>
      <c r="G111" s="50"/>
      <c r="H111" s="50"/>
      <c r="I111" s="7"/>
      <c r="J111" s="7"/>
      <c r="K111" s="62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 ht="15.75" customHeight="1">
      <c r="A112" s="6">
        <v>94</v>
      </c>
      <c r="B112" s="7"/>
      <c r="C112" s="7"/>
      <c r="D112" s="7"/>
      <c r="E112" s="41"/>
      <c r="F112" s="50"/>
      <c r="G112" s="50"/>
      <c r="H112" s="50"/>
      <c r="I112" s="7"/>
      <c r="J112" s="7"/>
      <c r="K112" s="62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ht="15.75" customHeight="1">
      <c r="A113" s="6">
        <v>95</v>
      </c>
      <c r="B113" s="50"/>
      <c r="C113" s="50"/>
      <c r="D113" s="50"/>
      <c r="E113" s="41"/>
      <c r="F113" s="50"/>
      <c r="G113" s="50"/>
      <c r="H113" s="50"/>
      <c r="I113" s="50"/>
      <c r="J113" s="7"/>
      <c r="K113" s="62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ht="15.75" customHeight="1">
      <c r="A114" s="6">
        <v>96</v>
      </c>
      <c r="B114" s="50"/>
      <c r="C114" s="50"/>
      <c r="D114" s="50"/>
      <c r="E114" s="50"/>
      <c r="F114" s="50"/>
      <c r="G114" s="50"/>
      <c r="H114" s="50"/>
      <c r="I114" s="50"/>
      <c r="J114" s="7"/>
      <c r="K114" s="62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ht="15.75" customHeight="1">
      <c r="A115" s="6">
        <v>97</v>
      </c>
      <c r="B115" s="50"/>
      <c r="C115" s="50"/>
      <c r="D115" s="50"/>
      <c r="E115" s="41"/>
      <c r="F115" s="50"/>
      <c r="G115" s="50"/>
      <c r="H115" s="50"/>
      <c r="I115" s="7"/>
      <c r="J115" s="7"/>
      <c r="K115" s="62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 ht="15.75" customHeight="1">
      <c r="A116" s="6">
        <v>98</v>
      </c>
      <c r="B116" s="7"/>
      <c r="C116" s="50"/>
      <c r="D116" s="50"/>
      <c r="E116" s="41"/>
      <c r="F116" s="50"/>
      <c r="G116" s="50"/>
      <c r="H116" s="50"/>
      <c r="I116" s="7"/>
      <c r="J116" s="7"/>
      <c r="K116" s="62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 ht="15.75" customHeight="1">
      <c r="A117" s="6">
        <v>99</v>
      </c>
      <c r="B117" s="7"/>
      <c r="C117" s="7"/>
      <c r="D117" s="7"/>
      <c r="E117" s="41"/>
      <c r="F117" s="7"/>
      <c r="G117" s="7"/>
      <c r="H117" s="7"/>
      <c r="I117" s="7"/>
      <c r="J117" s="7"/>
      <c r="K117" s="62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 ht="15.75" customHeight="1">
      <c r="A118" s="6">
        <v>100</v>
      </c>
      <c r="B118" s="7"/>
      <c r="C118" s="7"/>
      <c r="D118" s="7"/>
      <c r="E118" s="7"/>
      <c r="F118" s="7"/>
      <c r="G118" s="7"/>
      <c r="H118" s="7"/>
      <c r="I118" s="7"/>
      <c r="J118" s="7"/>
      <c r="K118" s="62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 ht="15.75" customHeight="1">
      <c r="A119" s="6">
        <v>101</v>
      </c>
      <c r="B119" s="7"/>
      <c r="C119" s="7"/>
      <c r="D119" s="7"/>
      <c r="E119" s="41"/>
      <c r="F119" s="7"/>
      <c r="G119" s="7"/>
      <c r="H119" s="7"/>
      <c r="I119" s="7"/>
      <c r="J119" s="7"/>
      <c r="K119" s="62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 ht="15.75" customHeight="1">
      <c r="A120" s="6">
        <v>102</v>
      </c>
      <c r="B120" s="7"/>
      <c r="C120" s="7"/>
      <c r="D120" s="7"/>
      <c r="E120" s="41"/>
      <c r="F120" s="7"/>
      <c r="G120" s="7"/>
      <c r="H120" s="7"/>
      <c r="I120" s="7"/>
      <c r="J120" s="7"/>
      <c r="K120" s="62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 ht="15.75" customHeight="1">
      <c r="A121" s="6">
        <v>103</v>
      </c>
      <c r="B121" s="7"/>
      <c r="C121" s="7"/>
      <c r="D121" s="7"/>
      <c r="E121" s="41"/>
      <c r="F121" s="7"/>
      <c r="G121" s="7"/>
      <c r="H121" s="7"/>
      <c r="I121" s="7"/>
      <c r="J121" s="7"/>
      <c r="K121" s="62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ht="15.75" customHeight="1">
      <c r="A122" s="6">
        <v>104</v>
      </c>
      <c r="B122" s="7"/>
      <c r="C122" s="7"/>
      <c r="D122" s="7"/>
      <c r="E122" s="41"/>
      <c r="F122" s="7"/>
      <c r="G122" s="7"/>
      <c r="H122" s="7"/>
      <c r="I122" s="7"/>
      <c r="J122" s="7"/>
      <c r="K122" s="62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ht="15.75" customHeight="1">
      <c r="A123" s="6">
        <v>105</v>
      </c>
      <c r="B123" s="7"/>
      <c r="C123" s="7"/>
      <c r="D123" s="7"/>
      <c r="E123" s="41"/>
      <c r="F123" s="7"/>
      <c r="G123" s="7"/>
      <c r="H123" s="7"/>
      <c r="I123" s="7"/>
      <c r="J123" s="7"/>
      <c r="K123" s="62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ht="15.75" customHeight="1">
      <c r="A124" s="6">
        <v>106</v>
      </c>
      <c r="B124" s="7"/>
      <c r="C124" s="7"/>
      <c r="D124" s="7"/>
      <c r="E124" s="41"/>
      <c r="F124" s="7"/>
      <c r="G124" s="7"/>
      <c r="H124" s="7"/>
      <c r="I124" s="7"/>
      <c r="J124" s="7"/>
      <c r="K124" s="62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 ht="15.75" customHeight="1">
      <c r="A125" s="6">
        <v>107</v>
      </c>
      <c r="B125" s="7"/>
      <c r="C125" s="7"/>
      <c r="D125" s="7"/>
      <c r="E125" s="41"/>
      <c r="F125" s="7"/>
      <c r="G125" s="7"/>
      <c r="H125" s="7"/>
      <c r="I125" s="7"/>
      <c r="J125" s="7"/>
      <c r="K125" s="62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 ht="15.75" customHeight="1">
      <c r="A126" s="6">
        <v>108</v>
      </c>
      <c r="B126" s="7"/>
      <c r="C126" s="7"/>
      <c r="D126" s="7"/>
      <c r="E126" s="41"/>
      <c r="F126" s="7"/>
      <c r="G126" s="7"/>
      <c r="H126" s="7"/>
      <c r="I126" s="7"/>
      <c r="J126" s="7"/>
      <c r="K126" s="62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 ht="15.75" customHeight="1">
      <c r="A127" s="6">
        <v>109</v>
      </c>
      <c r="B127" s="7"/>
      <c r="C127" s="7"/>
      <c r="D127" s="7"/>
      <c r="E127" s="41"/>
      <c r="F127" s="7"/>
      <c r="G127" s="7"/>
      <c r="H127" s="7"/>
      <c r="I127" s="7"/>
      <c r="J127" s="7"/>
      <c r="K127" s="62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 ht="15.75" customHeight="1">
      <c r="A128" s="6">
        <v>110</v>
      </c>
      <c r="B128" s="7"/>
      <c r="C128" s="7"/>
      <c r="D128" s="7"/>
      <c r="E128" s="41"/>
      <c r="F128" s="7"/>
      <c r="G128" s="7"/>
      <c r="H128" s="7"/>
      <c r="I128" s="7"/>
      <c r="J128" s="7"/>
      <c r="K128" s="62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 ht="15.75" customHeight="1">
      <c r="A129" s="6">
        <v>111</v>
      </c>
      <c r="B129" s="7"/>
      <c r="C129" s="7"/>
      <c r="D129" s="7"/>
      <c r="E129" s="41"/>
      <c r="F129" s="7"/>
      <c r="G129" s="7"/>
      <c r="H129" s="7"/>
      <c r="I129" s="7"/>
      <c r="J129" s="7"/>
      <c r="K129" s="62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 ht="15.75" customHeight="1">
      <c r="A130" s="6">
        <v>112</v>
      </c>
      <c r="B130" s="7"/>
      <c r="C130" s="7"/>
      <c r="D130" s="7"/>
      <c r="E130" s="41"/>
      <c r="F130" s="7"/>
      <c r="G130" s="7"/>
      <c r="H130" s="7"/>
      <c r="I130" s="7"/>
      <c r="J130" s="7"/>
      <c r="K130" s="62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 ht="15.75" customHeight="1">
      <c r="A131" s="6">
        <v>113</v>
      </c>
      <c r="B131" s="7"/>
      <c r="C131" s="7"/>
      <c r="D131" s="7"/>
      <c r="E131" s="41"/>
      <c r="F131" s="7"/>
      <c r="G131" s="7"/>
      <c r="H131" s="7"/>
      <c r="I131" s="7"/>
      <c r="J131" s="7"/>
      <c r="K131" s="62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 ht="15.75" customHeight="1">
      <c r="A132" s="6">
        <v>114</v>
      </c>
      <c r="B132" s="7"/>
      <c r="C132" s="7"/>
      <c r="D132" s="7"/>
      <c r="E132" s="41"/>
      <c r="F132" s="7"/>
      <c r="G132" s="7"/>
      <c r="H132" s="7"/>
      <c r="I132" s="7"/>
      <c r="J132" s="7"/>
      <c r="K132" s="62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 ht="15.75" customHeight="1">
      <c r="A133" s="6">
        <v>115</v>
      </c>
      <c r="B133" s="7"/>
      <c r="C133" s="7"/>
      <c r="D133" s="7"/>
      <c r="E133" s="41"/>
      <c r="F133" s="7"/>
      <c r="G133" s="7"/>
      <c r="H133" s="7"/>
      <c r="I133" s="7"/>
      <c r="J133" s="7"/>
      <c r="K133" s="62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 ht="15.75" customHeight="1">
      <c r="A134" s="6">
        <v>116</v>
      </c>
      <c r="B134" s="7"/>
      <c r="C134" s="7"/>
      <c r="D134" s="7"/>
      <c r="E134" s="41"/>
      <c r="F134" s="7"/>
      <c r="G134" s="7"/>
      <c r="H134" s="7"/>
      <c r="I134" s="7"/>
      <c r="J134" s="7"/>
      <c r="K134" s="62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 ht="15.75" customHeight="1">
      <c r="A135" s="6">
        <v>117</v>
      </c>
      <c r="B135" s="7"/>
      <c r="C135" s="7"/>
      <c r="D135" s="7"/>
      <c r="E135" s="41"/>
      <c r="F135" s="7"/>
      <c r="G135" s="7"/>
      <c r="H135" s="7"/>
      <c r="I135" s="7"/>
      <c r="J135" s="7"/>
      <c r="K135" s="62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 ht="15.75" customHeight="1">
      <c r="A136" s="6">
        <v>118</v>
      </c>
      <c r="B136" s="7"/>
      <c r="C136" s="7"/>
      <c r="D136" s="7"/>
      <c r="E136" s="41"/>
      <c r="F136" s="7"/>
      <c r="G136" s="7"/>
      <c r="H136" s="7"/>
      <c r="I136" s="7"/>
      <c r="J136" s="7"/>
      <c r="K136" s="62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 ht="15.75" customHeight="1">
      <c r="A137" s="6">
        <v>119</v>
      </c>
      <c r="B137" s="7"/>
      <c r="C137" s="7"/>
      <c r="D137" s="7"/>
      <c r="E137" s="41"/>
      <c r="F137" s="7"/>
      <c r="G137" s="7"/>
      <c r="H137" s="7"/>
      <c r="I137" s="7"/>
      <c r="J137" s="7"/>
      <c r="K137" s="62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 ht="15.75" customHeight="1">
      <c r="A138" s="6">
        <v>120</v>
      </c>
      <c r="B138" s="7"/>
      <c r="C138" s="7"/>
      <c r="D138" s="7"/>
      <c r="E138" s="41"/>
      <c r="F138" s="7"/>
      <c r="G138" s="7"/>
      <c r="H138" s="7"/>
      <c r="I138" s="7"/>
      <c r="J138" s="7"/>
      <c r="K138" s="62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 ht="15.75" customHeight="1">
      <c r="A139" s="6">
        <v>121</v>
      </c>
      <c r="B139" s="7"/>
      <c r="C139" s="7"/>
      <c r="D139" s="7"/>
      <c r="E139" s="7"/>
      <c r="F139" s="7"/>
      <c r="G139" s="7"/>
      <c r="H139" s="7"/>
      <c r="I139" s="7"/>
      <c r="J139" s="7"/>
      <c r="K139" s="62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 ht="15.75" customHeight="1">
      <c r="A140" s="6">
        <v>122</v>
      </c>
      <c r="B140" s="7"/>
      <c r="C140" s="7"/>
      <c r="D140" s="7"/>
      <c r="E140" s="41"/>
      <c r="F140" s="7"/>
      <c r="G140" s="7"/>
      <c r="H140" s="7"/>
      <c r="I140" s="7"/>
      <c r="J140" s="7"/>
      <c r="K140" s="62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 ht="15.75" customHeight="1">
      <c r="A141" s="6">
        <v>123</v>
      </c>
      <c r="B141" s="7"/>
      <c r="C141" s="7"/>
      <c r="D141" s="7"/>
      <c r="E141" s="41"/>
      <c r="F141" s="7"/>
      <c r="G141" s="7"/>
      <c r="H141" s="7"/>
      <c r="I141" s="7"/>
      <c r="J141" s="7"/>
      <c r="K141" s="62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 ht="15.75" customHeight="1">
      <c r="A142" s="6">
        <v>124</v>
      </c>
      <c r="B142" s="7"/>
      <c r="C142" s="7"/>
      <c r="D142" s="7"/>
      <c r="E142" s="7"/>
      <c r="F142" s="7"/>
      <c r="G142" s="7"/>
      <c r="H142" s="7"/>
      <c r="I142" s="7"/>
      <c r="J142" s="7"/>
      <c r="K142" s="62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 ht="15.75" customHeight="1">
      <c r="A143" s="6">
        <v>125</v>
      </c>
      <c r="B143" s="7"/>
      <c r="C143" s="7"/>
      <c r="D143" s="7"/>
      <c r="E143" s="7"/>
      <c r="F143" s="7"/>
      <c r="G143" s="7"/>
      <c r="H143" s="7"/>
      <c r="I143" s="7"/>
      <c r="J143" s="7"/>
      <c r="K143" s="62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 ht="15.75" customHeight="1">
      <c r="A144" s="6">
        <v>126</v>
      </c>
      <c r="B144" s="7"/>
      <c r="C144" s="7"/>
      <c r="D144" s="7"/>
      <c r="E144" s="7"/>
      <c r="F144" s="7"/>
      <c r="G144" s="7"/>
      <c r="H144" s="7"/>
      <c r="I144" s="7"/>
      <c r="J144" s="7"/>
      <c r="K144" s="62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 ht="15.75" customHeight="1">
      <c r="A145" s="6">
        <v>127</v>
      </c>
      <c r="B145" s="7"/>
      <c r="C145" s="7"/>
      <c r="D145" s="7"/>
      <c r="E145" s="7"/>
      <c r="F145" s="7"/>
      <c r="G145" s="7"/>
      <c r="H145" s="7"/>
      <c r="I145" s="7"/>
      <c r="J145" s="7"/>
      <c r="K145" s="62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 ht="15.75" customHeight="1">
      <c r="A146" s="6">
        <v>128</v>
      </c>
      <c r="B146" s="7"/>
      <c r="C146" s="7"/>
      <c r="D146" s="7"/>
      <c r="E146" s="7"/>
      <c r="F146" s="7"/>
      <c r="G146" s="7"/>
      <c r="H146" s="7"/>
      <c r="I146" s="7"/>
      <c r="J146" s="7"/>
      <c r="K146" s="62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 ht="15.75" customHeight="1">
      <c r="A147" s="6">
        <v>129</v>
      </c>
      <c r="B147" s="7"/>
      <c r="C147" s="7"/>
      <c r="D147" s="7"/>
      <c r="E147" s="7"/>
      <c r="F147" s="7"/>
      <c r="G147" s="7"/>
      <c r="H147" s="7"/>
      <c r="I147" s="7"/>
      <c r="J147" s="7"/>
      <c r="K147" s="62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 ht="15.75" customHeight="1">
      <c r="A148" s="6">
        <v>130</v>
      </c>
      <c r="B148" s="7"/>
      <c r="C148" s="7"/>
      <c r="D148" s="7"/>
      <c r="E148" s="7"/>
      <c r="F148" s="7"/>
      <c r="G148" s="7"/>
      <c r="H148" s="7"/>
      <c r="I148" s="7"/>
      <c r="J148" s="7"/>
      <c r="K148" s="62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 ht="15.75" customHeight="1">
      <c r="A149" s="6">
        <v>131</v>
      </c>
      <c r="B149" s="7"/>
      <c r="C149" s="7"/>
      <c r="D149" s="7"/>
      <c r="E149" s="7"/>
      <c r="F149" s="7"/>
      <c r="G149" s="7"/>
      <c r="H149" s="7"/>
      <c r="I149" s="7"/>
      <c r="J149" s="7"/>
      <c r="K149" s="62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 ht="15.75" customHeight="1">
      <c r="A150" s="6">
        <v>132</v>
      </c>
      <c r="B150" s="7"/>
      <c r="C150" s="7"/>
      <c r="D150" s="7"/>
      <c r="E150" s="7"/>
      <c r="F150" s="7"/>
      <c r="G150" s="7"/>
      <c r="H150" s="7"/>
      <c r="I150" s="7"/>
      <c r="J150" s="7"/>
      <c r="K150" s="62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 ht="15.75" customHeight="1">
      <c r="A151" s="6">
        <v>133</v>
      </c>
      <c r="B151" s="7"/>
      <c r="C151" s="7"/>
      <c r="D151" s="7"/>
      <c r="E151" s="7"/>
      <c r="F151" s="7"/>
      <c r="G151" s="7"/>
      <c r="H151" s="7"/>
      <c r="I151" s="7"/>
      <c r="J151" s="7"/>
      <c r="K151" s="62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 ht="15.75" customHeight="1">
      <c r="A152" s="6">
        <v>134</v>
      </c>
      <c r="B152" s="7"/>
      <c r="C152" s="7"/>
      <c r="D152" s="7"/>
      <c r="E152" s="7"/>
      <c r="F152" s="7"/>
      <c r="G152" s="7"/>
      <c r="H152" s="7"/>
      <c r="I152" s="7"/>
      <c r="J152" s="7"/>
      <c r="K152" s="62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 ht="15.75" customHeight="1">
      <c r="A153" s="6">
        <v>135</v>
      </c>
      <c r="B153" s="7"/>
      <c r="C153" s="7"/>
      <c r="D153" s="7"/>
      <c r="E153" s="7"/>
      <c r="F153" s="7"/>
      <c r="G153" s="7"/>
      <c r="H153" s="7"/>
      <c r="I153" s="7"/>
      <c r="J153" s="7"/>
      <c r="K153" s="62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 ht="15.75" customHeight="1">
      <c r="A154" s="6">
        <v>136</v>
      </c>
      <c r="B154" s="7"/>
      <c r="C154" s="7"/>
      <c r="D154" s="7"/>
      <c r="E154" s="7"/>
      <c r="F154" s="7"/>
      <c r="G154" s="7"/>
      <c r="H154" s="7"/>
      <c r="I154" s="7"/>
      <c r="J154" s="7"/>
      <c r="K154" s="62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 ht="15.75" customHeight="1">
      <c r="A155" s="6">
        <v>137</v>
      </c>
      <c r="B155" s="7"/>
      <c r="C155" s="7"/>
      <c r="D155" s="7"/>
      <c r="E155" s="7"/>
      <c r="F155" s="7"/>
      <c r="G155" s="7"/>
      <c r="H155" s="7"/>
      <c r="I155" s="7"/>
      <c r="J155" s="7"/>
      <c r="K155" s="62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 ht="15.75" customHeight="1">
      <c r="A156" s="6">
        <v>138</v>
      </c>
      <c r="B156" s="7"/>
      <c r="C156" s="7"/>
      <c r="D156" s="7"/>
      <c r="E156" s="7"/>
      <c r="F156" s="7"/>
      <c r="G156" s="7"/>
      <c r="H156" s="7"/>
      <c r="I156" s="7"/>
      <c r="J156" s="7"/>
      <c r="K156" s="62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 ht="15.75" customHeight="1">
      <c r="A157" s="6">
        <v>139</v>
      </c>
      <c r="B157" s="7"/>
      <c r="C157" s="7"/>
      <c r="D157" s="7"/>
      <c r="E157" s="7"/>
      <c r="F157" s="7"/>
      <c r="G157" s="7"/>
      <c r="H157" s="7"/>
      <c r="I157" s="7"/>
      <c r="J157" s="7"/>
      <c r="K157" s="62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 ht="15.75" customHeight="1">
      <c r="A158" s="6">
        <v>140</v>
      </c>
      <c r="B158" s="7"/>
      <c r="C158" s="7"/>
      <c r="D158" s="7"/>
      <c r="E158" s="7"/>
      <c r="F158" s="7"/>
      <c r="G158" s="7"/>
      <c r="H158" s="7"/>
      <c r="I158" s="7"/>
      <c r="J158" s="7"/>
      <c r="K158" s="62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 ht="15.75" customHeight="1">
      <c r="A159" s="6">
        <v>141</v>
      </c>
      <c r="B159" s="7"/>
      <c r="C159" s="7"/>
      <c r="D159" s="7"/>
      <c r="E159" s="7"/>
      <c r="F159" s="7"/>
      <c r="G159" s="7"/>
      <c r="H159" s="7"/>
      <c r="I159" s="7"/>
      <c r="J159" s="7"/>
      <c r="K159" s="62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 ht="15.75" customHeight="1">
      <c r="A160" s="6">
        <v>142</v>
      </c>
      <c r="B160" s="7"/>
      <c r="C160" s="7"/>
      <c r="D160" s="7"/>
      <c r="E160" s="7"/>
      <c r="F160" s="7"/>
      <c r="G160" s="7"/>
      <c r="H160" s="7"/>
      <c r="I160" s="7"/>
      <c r="J160" s="7"/>
      <c r="K160" s="62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 ht="15.75" customHeight="1">
      <c r="A161" s="6">
        <v>143</v>
      </c>
      <c r="B161" s="7"/>
      <c r="C161" s="7"/>
      <c r="D161" s="7"/>
      <c r="E161" s="7"/>
      <c r="F161" s="7"/>
      <c r="G161" s="7"/>
      <c r="H161" s="7"/>
      <c r="I161" s="7"/>
      <c r="J161" s="7"/>
      <c r="K161" s="62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 ht="15.75" customHeight="1">
      <c r="A162" s="6">
        <v>144</v>
      </c>
      <c r="B162" s="7"/>
      <c r="C162" s="7"/>
      <c r="D162" s="7"/>
      <c r="E162" s="7"/>
      <c r="F162" s="7"/>
      <c r="G162" s="7"/>
      <c r="H162" s="7"/>
      <c r="I162" s="7"/>
      <c r="J162" s="7"/>
      <c r="K162" s="62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1:25" ht="15.75" customHeight="1">
      <c r="A163" s="6">
        <v>145</v>
      </c>
      <c r="B163" s="7"/>
      <c r="C163" s="7"/>
      <c r="D163" s="7"/>
      <c r="E163" s="7"/>
      <c r="F163" s="7"/>
      <c r="G163" s="7"/>
      <c r="H163" s="7"/>
      <c r="I163" s="7"/>
      <c r="J163" s="7"/>
      <c r="K163" s="62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 ht="15.75" customHeight="1">
      <c r="A164" s="6">
        <v>146</v>
      </c>
      <c r="B164" s="7"/>
      <c r="C164" s="7"/>
      <c r="D164" s="7"/>
      <c r="E164" s="7"/>
      <c r="F164" s="7"/>
      <c r="G164" s="7"/>
      <c r="H164" s="7"/>
      <c r="I164" s="7"/>
      <c r="J164" s="7"/>
      <c r="K164" s="62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 ht="15.75" customHeight="1">
      <c r="A165" s="6">
        <v>147</v>
      </c>
      <c r="B165" s="7"/>
      <c r="C165" s="7"/>
      <c r="D165" s="7"/>
      <c r="E165" s="7"/>
      <c r="F165" s="7"/>
      <c r="G165" s="7"/>
      <c r="H165" s="7"/>
      <c r="I165" s="7"/>
      <c r="J165" s="7"/>
      <c r="K165" s="62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 ht="15.75" customHeight="1">
      <c r="A166" s="6">
        <v>148</v>
      </c>
      <c r="B166" s="7"/>
      <c r="C166" s="7"/>
      <c r="D166" s="7"/>
      <c r="E166" s="7"/>
      <c r="F166" s="7"/>
      <c r="G166" s="7"/>
      <c r="H166" s="7"/>
      <c r="I166" s="7"/>
      <c r="J166" s="7"/>
      <c r="K166" s="62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 ht="15.75" customHeight="1">
      <c r="A167" s="6">
        <v>149</v>
      </c>
      <c r="B167" s="7"/>
      <c r="C167" s="7"/>
      <c r="D167" s="7"/>
      <c r="E167" s="7"/>
      <c r="F167" s="7"/>
      <c r="G167" s="7"/>
      <c r="H167" s="7"/>
      <c r="I167" s="7"/>
      <c r="J167" s="7"/>
      <c r="K167" s="62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 ht="15.75" customHeight="1">
      <c r="A168" s="6">
        <v>150</v>
      </c>
      <c r="B168" s="7"/>
      <c r="C168" s="7"/>
      <c r="D168" s="7"/>
      <c r="E168" s="7"/>
      <c r="F168" s="7"/>
      <c r="G168" s="7"/>
      <c r="H168" s="7"/>
      <c r="I168" s="7"/>
      <c r="J168" s="7"/>
      <c r="K168" s="62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 ht="15.75" customHeight="1">
      <c r="A169" s="6"/>
      <c r="B169" s="7"/>
      <c r="C169" s="7"/>
      <c r="D169" s="7"/>
      <c r="E169" s="7"/>
      <c r="F169" s="7"/>
      <c r="G169" s="7"/>
      <c r="H169" s="7"/>
      <c r="I169" s="7"/>
      <c r="J169" s="7"/>
      <c r="K169" s="62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 ht="15.75" customHeight="1">
      <c r="A170" s="6"/>
      <c r="B170" s="7"/>
      <c r="C170" s="7"/>
      <c r="D170" s="7"/>
      <c r="E170" s="7"/>
      <c r="F170" s="7"/>
      <c r="G170" s="7"/>
      <c r="H170" s="7"/>
      <c r="I170" s="7"/>
      <c r="J170" s="7"/>
      <c r="K170" s="62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 ht="15.75" customHeight="1">
      <c r="A171" s="6"/>
      <c r="B171" s="7"/>
      <c r="C171" s="7"/>
      <c r="D171" s="7"/>
      <c r="E171" s="7"/>
      <c r="F171" s="7"/>
      <c r="G171" s="7"/>
      <c r="H171" s="7"/>
      <c r="I171" s="7"/>
      <c r="J171" s="7"/>
      <c r="K171" s="62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62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62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62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62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62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62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62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62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62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62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62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62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62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62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62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62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62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62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62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62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62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62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62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62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62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62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62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62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62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62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62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62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62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62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62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62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62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62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62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62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62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62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62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62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62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62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62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62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62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spans="1:25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62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spans="1:25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62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1:25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62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1:25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62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spans="1: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62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spans="1:25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62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spans="1:25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62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spans="1:25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62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spans="1:25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62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1:25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62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spans="1:25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62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1:25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62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spans="1:25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62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spans="1:25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62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spans="1:2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62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spans="1:25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62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spans="1:25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62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1:25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62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1:25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62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1:25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62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spans="1:25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62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spans="1:25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62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spans="1:25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62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1:25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62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1:2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62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1:25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62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spans="1:25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62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spans="1:25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62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1:25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62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1:25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62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spans="1:25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62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1:25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62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spans="1:25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62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spans="1:25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62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spans="1:2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62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1:25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62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spans="1:25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62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5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62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spans="1:25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62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spans="1:25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62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spans="1:25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62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spans="1:25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62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spans="1:25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62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spans="1:25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62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spans="1:2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62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spans="1:25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62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spans="1:25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62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spans="1:25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62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spans="1:25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62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spans="1:25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62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spans="1:25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62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spans="1:25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62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spans="1:25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62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spans="1:25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62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spans="1:2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62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spans="1:25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62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spans="1:25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62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spans="1:25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62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spans="1:25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62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spans="1:25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62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spans="1:25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62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spans="1:25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62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spans="1:25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62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spans="1:25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62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spans="1:2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62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spans="1:25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62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spans="1:25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62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spans="1:25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62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spans="1:25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62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spans="1:25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62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spans="1:25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62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spans="1:25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62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spans="1:25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62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spans="1:25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62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spans="1:2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62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spans="1:25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62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spans="1:25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62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spans="1:25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62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spans="1:25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62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spans="1:25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62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spans="1:25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62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spans="1:25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62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spans="1:25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62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spans="1:25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62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spans="1:2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62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spans="1:25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62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spans="1:25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62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spans="1:25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62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spans="1:25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62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spans="1:25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62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spans="1:25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62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spans="1:25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62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spans="1:25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62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spans="1:25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62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spans="1:2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62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spans="1:25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62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spans="1:25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62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spans="1:25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62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spans="1:25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62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spans="1:25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62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spans="1:25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62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spans="1:25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62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spans="1:25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62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spans="1:25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62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spans="1: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62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spans="1:25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62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spans="1:25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62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spans="1:25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62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spans="1:25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62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spans="1:25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62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spans="1:25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62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spans="1:25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62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spans="1:25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62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spans="1:25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62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spans="1:2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62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spans="1:25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62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spans="1:25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62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spans="1:25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62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spans="1:25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62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spans="1:25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62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spans="1:25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62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spans="1:25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62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spans="1:25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62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spans="1:25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62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spans="1:2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62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spans="1:25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62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spans="1:25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62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spans="1:25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62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spans="1:25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62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spans="1:25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62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spans="1:25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62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spans="1:25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62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spans="1:25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62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spans="1:25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62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spans="1:2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62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spans="1:25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62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spans="1:25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62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spans="1:25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62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spans="1:25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62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spans="1:25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62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spans="1:25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62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spans="1:25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62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spans="1:25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62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spans="1:25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62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spans="1:2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62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spans="1:25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62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spans="1:25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62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spans="1:25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62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I2"/>
    <mergeCell ref="A3:I3"/>
    <mergeCell ref="A4:E4"/>
    <mergeCell ref="F4:I4"/>
    <mergeCell ref="A16:I16"/>
    <mergeCell ref="A17:D17"/>
    <mergeCell ref="E17:I17"/>
  </mergeCells>
  <dataValidations count="4">
    <dataValidation type="list" allowBlank="1" showErrorMessage="1" sqref="H44 H53 H56 H61 H91 H96 H121" xr:uid="{5AE59209-6D17-404B-9AD0-88B5EB9B67E3}">
      <formula1>"Pending,Sent,Followed Up,Responded,Bounced"</formula1>
    </dataValidation>
    <dataValidation type="list" allowBlank="1" showErrorMessage="1" sqref="H72" xr:uid="{8E989E02-3859-4A35-AF8D-422E178BDCCC}">
      <formula1>"Pending,Sent,Followed Up,Responded,OOO"</formula1>
    </dataValidation>
    <dataValidation type="list" allowBlank="1" showErrorMessage="1" sqref="H19:H43 H45:H52 H54:H55 H57:H60 H62:H71 H73:H90 H92:H95 H101:H120 H126:H168" xr:uid="{E9CFD61E-B452-49E7-9BBF-7EE703FF0327}">
      <formula1>"Pending,Sent,Followed Up,Responded,Completed"</formula1>
    </dataValidation>
    <dataValidation type="list" allowBlank="1" showErrorMessage="1" sqref="H97:H100 H122:H125" xr:uid="{572AC15F-2499-4894-9A5F-206D2E38BC0F}">
      <formula1>"Pending,Sent,Followed Up,Responded"</formula1>
    </dataValidation>
  </dataValidations>
  <hyperlinks>
    <hyperlink ref="A1" location="OVERVIEW!A1" display="JP Morgan Application Tracker" xr:uid="{0C12F033-43A7-4505-8174-101E70D778E4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90D2E-D372-47AD-A4DE-EA02FD37B487}">
  <sheetPr>
    <outlinePr summaryBelow="0" summaryRight="0"/>
  </sheetPr>
  <dimension ref="A1:Y1000"/>
  <sheetViews>
    <sheetView workbookViewId="0">
      <pane ySplit="2" topLeftCell="A3" activePane="bottomLeft" state="frozen"/>
      <selection pane="bottomLeft" activeCell="E21" sqref="E21"/>
    </sheetView>
  </sheetViews>
  <sheetFormatPr defaultColWidth="12.6328125" defaultRowHeight="15" customHeight="1"/>
  <cols>
    <col min="1" max="1" width="3.90625" customWidth="1"/>
    <col min="2" max="2" width="23.36328125" customWidth="1"/>
    <col min="3" max="3" width="29.26953125" customWidth="1"/>
    <col min="4" max="4" width="14.90625" customWidth="1"/>
    <col min="5" max="6" width="14" customWidth="1"/>
    <col min="7" max="8" width="12.26953125" customWidth="1"/>
    <col min="9" max="9" width="50.90625" customWidth="1"/>
  </cols>
  <sheetData>
    <row r="1" spans="1:25" ht="24.75" customHeight="1">
      <c r="A1" s="115" t="s">
        <v>860</v>
      </c>
      <c r="B1" s="72"/>
      <c r="C1" s="72"/>
      <c r="D1" s="72"/>
      <c r="E1" s="72"/>
      <c r="F1" s="72"/>
      <c r="G1" s="72"/>
      <c r="H1" s="72"/>
      <c r="I1" s="72"/>
      <c r="J1" s="7"/>
      <c r="K1" s="62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15.75" customHeight="1">
      <c r="A2" s="72"/>
      <c r="B2" s="72"/>
      <c r="C2" s="72"/>
      <c r="D2" s="72"/>
      <c r="E2" s="72"/>
      <c r="F2" s="72"/>
      <c r="G2" s="72"/>
      <c r="H2" s="72"/>
      <c r="I2" s="72"/>
      <c r="J2" s="7"/>
      <c r="K2" s="62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10.5" customHeight="1">
      <c r="A3" s="97"/>
      <c r="B3" s="72"/>
      <c r="C3" s="72"/>
      <c r="D3" s="72"/>
      <c r="E3" s="72"/>
      <c r="F3" s="72"/>
      <c r="G3" s="72"/>
      <c r="H3" s="72"/>
      <c r="I3" s="72"/>
      <c r="J3" s="7"/>
      <c r="K3" s="62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15.75" customHeight="1">
      <c r="A4" s="99" t="s">
        <v>564</v>
      </c>
      <c r="B4" s="72"/>
      <c r="C4" s="72"/>
      <c r="D4" s="72"/>
      <c r="E4" s="72"/>
      <c r="F4" s="100" t="s">
        <v>566</v>
      </c>
      <c r="G4" s="72"/>
      <c r="H4" s="72"/>
      <c r="I4" s="72"/>
      <c r="J4" s="63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5.75" customHeight="1">
      <c r="A5" s="51" t="s">
        <v>6</v>
      </c>
      <c r="B5" s="52" t="s">
        <v>567</v>
      </c>
      <c r="C5" s="52" t="s">
        <v>568</v>
      </c>
      <c r="D5" s="52" t="s">
        <v>569</v>
      </c>
      <c r="E5" s="52" t="s">
        <v>571</v>
      </c>
      <c r="F5" s="52" t="s">
        <v>572</v>
      </c>
      <c r="G5" s="52" t="s">
        <v>566</v>
      </c>
      <c r="H5" s="52" t="s">
        <v>573</v>
      </c>
      <c r="I5" s="52" t="s">
        <v>574</v>
      </c>
      <c r="J5" s="63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15.75" customHeight="1">
      <c r="A6" s="7">
        <v>1</v>
      </c>
      <c r="B6" s="7"/>
      <c r="C6" s="7"/>
      <c r="D6" s="7"/>
      <c r="E6" s="14"/>
      <c r="F6" s="14"/>
      <c r="G6" s="53"/>
      <c r="H6" s="7"/>
      <c r="I6" s="7"/>
      <c r="J6" s="63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15.75" customHeight="1">
      <c r="A7" s="7">
        <v>2</v>
      </c>
      <c r="B7" s="7"/>
      <c r="C7" s="7"/>
      <c r="D7" s="7"/>
      <c r="E7" s="14"/>
      <c r="F7" s="14"/>
      <c r="G7" s="53"/>
      <c r="H7" s="7"/>
      <c r="I7" s="7"/>
      <c r="J7" s="63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15.75" customHeight="1">
      <c r="A8" s="7">
        <v>3</v>
      </c>
      <c r="B8" s="7"/>
      <c r="C8" s="7"/>
      <c r="D8" s="7"/>
      <c r="E8" s="14"/>
      <c r="F8" s="14"/>
      <c r="G8" s="53"/>
      <c r="H8" s="7"/>
      <c r="I8" s="14"/>
      <c r="J8" s="63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5.75" customHeight="1">
      <c r="A9" s="7">
        <v>4</v>
      </c>
      <c r="B9" s="7"/>
      <c r="C9" s="7"/>
      <c r="D9" s="7"/>
      <c r="E9" s="14"/>
      <c r="F9" s="7"/>
      <c r="G9" s="53"/>
      <c r="H9" s="7"/>
      <c r="I9" s="7"/>
      <c r="J9" s="63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5.75" customHeight="1">
      <c r="A10" s="7">
        <v>5</v>
      </c>
      <c r="B10" s="7"/>
      <c r="C10" s="7"/>
      <c r="D10" s="7"/>
      <c r="E10" s="14"/>
      <c r="F10" s="7"/>
      <c r="G10" s="53"/>
      <c r="H10" s="7"/>
      <c r="I10" s="7"/>
      <c r="J10" s="63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5.75" customHeight="1">
      <c r="A11" s="7">
        <v>6</v>
      </c>
      <c r="B11" s="7"/>
      <c r="C11" s="7"/>
      <c r="D11" s="7"/>
      <c r="E11" s="14"/>
      <c r="F11" s="7"/>
      <c r="G11" s="53"/>
      <c r="H11" s="7"/>
      <c r="I11" s="7"/>
      <c r="J11" s="63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15.75" customHeight="1">
      <c r="A12" s="7">
        <v>7</v>
      </c>
      <c r="B12" s="7"/>
      <c r="C12" s="7"/>
      <c r="D12" s="7"/>
      <c r="E12" s="14"/>
      <c r="F12" s="7"/>
      <c r="G12" s="53"/>
      <c r="H12" s="7"/>
      <c r="I12" s="7"/>
      <c r="J12" s="63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15.75" customHeight="1">
      <c r="A13" s="7">
        <v>8</v>
      </c>
      <c r="B13" s="7"/>
      <c r="C13" s="7"/>
      <c r="D13" s="7"/>
      <c r="E13" s="14"/>
      <c r="F13" s="7"/>
      <c r="G13" s="53"/>
      <c r="H13" s="7"/>
      <c r="I13" s="7"/>
      <c r="J13" s="63"/>
      <c r="K13" s="64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15.75" customHeight="1">
      <c r="A14" s="7">
        <v>9</v>
      </c>
      <c r="B14" s="7"/>
      <c r="C14" s="7"/>
      <c r="D14" s="7"/>
      <c r="E14" s="14"/>
      <c r="F14" s="7"/>
      <c r="G14" s="60"/>
      <c r="H14" s="7"/>
      <c r="I14" s="7"/>
      <c r="J14" s="63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5.75" customHeight="1">
      <c r="A15" s="7">
        <v>10</v>
      </c>
      <c r="B15" s="7"/>
      <c r="C15" s="7"/>
      <c r="D15" s="7"/>
      <c r="E15" s="14"/>
      <c r="F15" s="7"/>
      <c r="G15" s="53"/>
      <c r="H15" s="7"/>
      <c r="I15" s="7"/>
      <c r="J15" s="63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0.5" customHeight="1">
      <c r="A16" s="97"/>
      <c r="B16" s="72"/>
      <c r="C16" s="72"/>
      <c r="D16" s="72"/>
      <c r="E16" s="72"/>
      <c r="F16" s="72"/>
      <c r="G16" s="72"/>
      <c r="H16" s="72"/>
      <c r="I16" s="72"/>
      <c r="J16" s="7"/>
      <c r="K16" s="62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ht="15.75" customHeight="1">
      <c r="A17" s="99" t="s">
        <v>564</v>
      </c>
      <c r="B17" s="72"/>
      <c r="C17" s="72"/>
      <c r="D17" s="72"/>
      <c r="E17" s="100" t="s">
        <v>598</v>
      </c>
      <c r="F17" s="72"/>
      <c r="G17" s="72"/>
      <c r="H17" s="72"/>
      <c r="I17" s="72"/>
      <c r="J17" s="7"/>
      <c r="K17" s="62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ht="15.75" customHeight="1">
      <c r="A18" s="52" t="s">
        <v>6</v>
      </c>
      <c r="B18" s="52" t="s">
        <v>567</v>
      </c>
      <c r="C18" s="52" t="s">
        <v>568</v>
      </c>
      <c r="D18" s="52" t="s">
        <v>569</v>
      </c>
      <c r="E18" s="52" t="s">
        <v>600</v>
      </c>
      <c r="F18" s="52"/>
      <c r="G18" s="52"/>
      <c r="H18" s="52" t="s">
        <v>604</v>
      </c>
      <c r="I18" s="52" t="s">
        <v>605</v>
      </c>
      <c r="J18" s="7"/>
      <c r="K18" s="62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ht="15.75" customHeight="1">
      <c r="A19" s="7">
        <v>1</v>
      </c>
      <c r="B19" s="7" t="s">
        <v>761</v>
      </c>
      <c r="C19" s="7"/>
      <c r="D19" s="7"/>
      <c r="E19" s="56" t="s">
        <v>760</v>
      </c>
      <c r="F19" s="7"/>
      <c r="G19" s="7"/>
      <c r="H19" s="7"/>
      <c r="I19" s="7" t="s">
        <v>762</v>
      </c>
      <c r="J19" s="7"/>
      <c r="K19" s="62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ht="15.75" customHeight="1">
      <c r="A20" s="7">
        <v>2</v>
      </c>
      <c r="B20" s="7" t="s">
        <v>908</v>
      </c>
      <c r="C20" s="7"/>
      <c r="D20" s="7"/>
      <c r="E20" s="103" t="s">
        <v>909</v>
      </c>
      <c r="F20" s="7"/>
      <c r="G20" s="7"/>
      <c r="H20" s="7"/>
      <c r="I20" s="7"/>
      <c r="J20" s="7"/>
      <c r="K20" s="62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ht="15.75" customHeight="1">
      <c r="A21" s="7">
        <v>3</v>
      </c>
      <c r="B21" s="7"/>
      <c r="C21" s="7"/>
      <c r="D21" s="7"/>
      <c r="E21" s="56"/>
      <c r="F21" s="7"/>
      <c r="G21" s="7"/>
      <c r="H21" s="7"/>
      <c r="I21" s="7"/>
      <c r="J21" s="7"/>
      <c r="K21" s="62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ht="15.75" customHeight="1">
      <c r="A22" s="6">
        <v>4</v>
      </c>
      <c r="B22" s="7"/>
      <c r="C22" s="7"/>
      <c r="D22" s="7"/>
      <c r="E22" s="7"/>
      <c r="F22" s="7"/>
      <c r="G22" s="7"/>
      <c r="H22" s="7"/>
      <c r="I22" s="7"/>
      <c r="J22" s="7"/>
      <c r="K22" s="62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ht="15.75" customHeight="1">
      <c r="A23" s="6">
        <v>5</v>
      </c>
      <c r="B23" s="7"/>
      <c r="C23" s="7"/>
      <c r="D23" s="7"/>
      <c r="E23" s="7"/>
      <c r="F23" s="7"/>
      <c r="G23" s="7"/>
      <c r="H23" s="7"/>
      <c r="I23" s="7"/>
      <c r="J23" s="7"/>
      <c r="K23" s="62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ht="15.75" customHeight="1">
      <c r="A24" s="6">
        <v>6</v>
      </c>
      <c r="B24" s="7"/>
      <c r="C24" s="7"/>
      <c r="D24" s="7"/>
      <c r="E24" s="41"/>
      <c r="F24" s="7"/>
      <c r="G24" s="7"/>
      <c r="H24" s="7"/>
      <c r="I24" s="7"/>
      <c r="J24" s="7"/>
      <c r="K24" s="62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ht="15.75" customHeight="1">
      <c r="A25" s="6">
        <v>7</v>
      </c>
      <c r="B25" s="7"/>
      <c r="C25" s="7"/>
      <c r="D25" s="7"/>
      <c r="E25" s="41"/>
      <c r="F25" s="7"/>
      <c r="G25" s="7"/>
      <c r="H25" s="7"/>
      <c r="I25" s="7"/>
      <c r="J25" s="7"/>
      <c r="K25" s="62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ht="15.75" customHeight="1">
      <c r="A26" s="6">
        <v>8</v>
      </c>
      <c r="B26" s="7"/>
      <c r="C26" s="7"/>
      <c r="D26" s="7"/>
      <c r="E26" s="41"/>
      <c r="F26" s="7"/>
      <c r="G26" s="7"/>
      <c r="H26" s="7"/>
      <c r="I26" s="7"/>
      <c r="J26" s="7"/>
      <c r="K26" s="62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 ht="15.75" customHeight="1">
      <c r="A27" s="6">
        <v>9</v>
      </c>
      <c r="B27" s="7"/>
      <c r="C27" s="7"/>
      <c r="D27" s="7"/>
      <c r="E27" s="41"/>
      <c r="F27" s="7"/>
      <c r="G27" s="7"/>
      <c r="H27" s="7"/>
      <c r="I27" s="7"/>
      <c r="J27" s="7"/>
      <c r="K27" s="62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ht="15.75" customHeight="1">
      <c r="A28" s="6">
        <v>10</v>
      </c>
      <c r="B28" s="7"/>
      <c r="C28" s="7"/>
      <c r="D28" s="7"/>
      <c r="E28" s="41"/>
      <c r="F28" s="7"/>
      <c r="G28" s="7"/>
      <c r="H28" s="7"/>
      <c r="I28" s="7"/>
      <c r="J28" s="7"/>
      <c r="K28" s="62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ht="15.75" customHeight="1">
      <c r="A29" s="6">
        <v>11</v>
      </c>
      <c r="B29" s="7"/>
      <c r="C29" s="7"/>
      <c r="D29" s="7"/>
      <c r="E29" s="41"/>
      <c r="F29" s="7"/>
      <c r="G29" s="7"/>
      <c r="H29" s="7"/>
      <c r="I29" s="7"/>
      <c r="J29" s="7"/>
      <c r="K29" s="62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ht="15.75" customHeight="1">
      <c r="A30" s="6">
        <v>12</v>
      </c>
      <c r="B30" s="7"/>
      <c r="C30" s="7"/>
      <c r="D30" s="7"/>
      <c r="E30" s="41"/>
      <c r="F30" s="7"/>
      <c r="G30" s="7"/>
      <c r="H30" s="7"/>
      <c r="I30" s="7"/>
      <c r="J30" s="7"/>
      <c r="K30" s="62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ht="15.75" customHeight="1">
      <c r="A31" s="6">
        <v>13</v>
      </c>
      <c r="B31" s="7"/>
      <c r="C31" s="7"/>
      <c r="D31" s="7"/>
      <c r="E31" s="41"/>
      <c r="F31" s="7"/>
      <c r="G31" s="7"/>
      <c r="H31" s="7"/>
      <c r="I31" s="7"/>
      <c r="J31" s="7"/>
      <c r="K31" s="62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ht="15.75" customHeight="1">
      <c r="A32" s="6">
        <v>14</v>
      </c>
      <c r="B32" s="7"/>
      <c r="C32" s="7"/>
      <c r="D32" s="7"/>
      <c r="E32" s="41"/>
      <c r="F32" s="7"/>
      <c r="G32" s="7"/>
      <c r="H32" s="7"/>
      <c r="I32" s="7"/>
      <c r="J32" s="7"/>
      <c r="K32" s="62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ht="15.75" customHeight="1">
      <c r="A33" s="6">
        <v>15</v>
      </c>
      <c r="B33" s="7"/>
      <c r="C33" s="7"/>
      <c r="D33" s="7"/>
      <c r="E33" s="41"/>
      <c r="F33" s="7"/>
      <c r="G33" s="7"/>
      <c r="H33" s="7"/>
      <c r="I33" s="7"/>
      <c r="J33" s="7"/>
      <c r="K33" s="62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ht="15.75" customHeight="1">
      <c r="A34" s="6">
        <v>16</v>
      </c>
      <c r="B34" s="7"/>
      <c r="C34" s="7"/>
      <c r="D34" s="7"/>
      <c r="E34" s="41"/>
      <c r="F34" s="7"/>
      <c r="G34" s="7"/>
      <c r="H34" s="7"/>
      <c r="I34" s="7"/>
      <c r="J34" s="7"/>
      <c r="K34" s="62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ht="15.75" customHeight="1">
      <c r="A35" s="6">
        <v>17</v>
      </c>
      <c r="B35" s="7"/>
      <c r="C35" s="7"/>
      <c r="D35" s="7"/>
      <c r="E35" s="41"/>
      <c r="F35" s="7"/>
      <c r="G35" s="7"/>
      <c r="H35" s="7"/>
      <c r="I35" s="7"/>
      <c r="J35" s="7"/>
      <c r="K35" s="62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ht="15.75" customHeight="1">
      <c r="A36" s="6">
        <v>18</v>
      </c>
      <c r="B36" s="7"/>
      <c r="C36" s="7"/>
      <c r="D36" s="7"/>
      <c r="E36" s="41"/>
      <c r="F36" s="7"/>
      <c r="G36" s="7"/>
      <c r="H36" s="7"/>
      <c r="I36" s="7"/>
      <c r="J36" s="7"/>
      <c r="K36" s="62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ht="15.75" customHeight="1">
      <c r="A37" s="6">
        <v>19</v>
      </c>
      <c r="B37" s="7"/>
      <c r="C37" s="7"/>
      <c r="D37" s="7"/>
      <c r="E37" s="56"/>
      <c r="F37" s="7"/>
      <c r="G37" s="7"/>
      <c r="H37" s="7"/>
      <c r="I37" s="7"/>
      <c r="J37" s="7"/>
      <c r="K37" s="62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ht="15.75" customHeight="1">
      <c r="A38" s="6">
        <v>20</v>
      </c>
      <c r="B38" s="7"/>
      <c r="C38" s="7"/>
      <c r="D38" s="7"/>
      <c r="E38" s="56"/>
      <c r="F38" s="7"/>
      <c r="G38" s="7"/>
      <c r="H38" s="7"/>
      <c r="I38" s="7"/>
      <c r="J38" s="7"/>
      <c r="K38" s="62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ht="15.75" customHeight="1">
      <c r="A39" s="6">
        <v>21</v>
      </c>
      <c r="B39" s="7"/>
      <c r="C39" s="7"/>
      <c r="D39" s="7"/>
      <c r="E39" s="56"/>
      <c r="F39" s="7"/>
      <c r="G39" s="7"/>
      <c r="H39" s="7"/>
      <c r="I39" s="7"/>
      <c r="J39" s="7"/>
      <c r="K39" s="62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ht="15.75" customHeight="1">
      <c r="A40" s="6">
        <v>22</v>
      </c>
      <c r="B40" s="7"/>
      <c r="C40" s="7"/>
      <c r="D40" s="7"/>
      <c r="E40" s="56"/>
      <c r="F40" s="7"/>
      <c r="G40" s="7"/>
      <c r="H40" s="7"/>
      <c r="I40" s="7"/>
      <c r="J40" s="7"/>
      <c r="K40" s="62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ht="15.75" customHeight="1">
      <c r="A41" s="6">
        <v>23</v>
      </c>
      <c r="B41" s="7"/>
      <c r="C41" s="7"/>
      <c r="D41" s="7"/>
      <c r="E41" s="41"/>
      <c r="F41" s="7"/>
      <c r="G41" s="7"/>
      <c r="H41" s="7"/>
      <c r="I41" s="7"/>
      <c r="J41" s="7"/>
      <c r="K41" s="62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ht="15.75" customHeight="1">
      <c r="A42" s="6">
        <v>24</v>
      </c>
      <c r="B42" s="7"/>
      <c r="C42" s="7"/>
      <c r="D42" s="7"/>
      <c r="E42" s="41"/>
      <c r="F42" s="7"/>
      <c r="G42" s="7"/>
      <c r="H42" s="7"/>
      <c r="I42" s="7"/>
      <c r="J42" s="7"/>
      <c r="K42" s="62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ht="15.75" customHeight="1">
      <c r="A43" s="6">
        <v>25</v>
      </c>
      <c r="B43" s="7"/>
      <c r="C43" s="7"/>
      <c r="D43" s="7"/>
      <c r="E43" s="41"/>
      <c r="F43" s="7"/>
      <c r="G43" s="7"/>
      <c r="H43" s="7"/>
      <c r="I43" s="7"/>
      <c r="J43" s="7"/>
      <c r="K43" s="62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ht="15.75" customHeight="1">
      <c r="A44" s="6">
        <v>26</v>
      </c>
      <c r="B44" s="7"/>
      <c r="C44" s="7"/>
      <c r="D44" s="7"/>
      <c r="E44" s="41"/>
      <c r="F44" s="7"/>
      <c r="G44" s="7"/>
      <c r="H44" s="7"/>
      <c r="I44" s="7"/>
      <c r="J44" s="7"/>
      <c r="K44" s="62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ht="15.75" customHeight="1">
      <c r="A45" s="6">
        <v>27</v>
      </c>
      <c r="B45" s="7"/>
      <c r="C45" s="7"/>
      <c r="D45" s="7"/>
      <c r="E45" s="41"/>
      <c r="F45" s="7"/>
      <c r="G45" s="7"/>
      <c r="H45" s="7"/>
      <c r="I45" s="7"/>
      <c r="J45" s="7"/>
      <c r="K45" s="62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ht="15.75" customHeight="1">
      <c r="A46" s="6">
        <v>28</v>
      </c>
      <c r="B46" s="7"/>
      <c r="C46" s="7"/>
      <c r="D46" s="7"/>
      <c r="E46" s="56"/>
      <c r="F46" s="7"/>
      <c r="G46" s="7"/>
      <c r="H46" s="7"/>
      <c r="I46" s="7"/>
      <c r="J46" s="7"/>
      <c r="K46" s="62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ht="15.75" customHeight="1">
      <c r="A47" s="6">
        <v>29</v>
      </c>
      <c r="B47" s="7"/>
      <c r="C47" s="7"/>
      <c r="D47" s="7"/>
      <c r="E47" s="56"/>
      <c r="F47" s="7"/>
      <c r="G47" s="7"/>
      <c r="H47" s="7"/>
      <c r="I47" s="7"/>
      <c r="J47" s="7"/>
      <c r="K47" s="62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ht="15.75" customHeight="1">
      <c r="A48" s="6">
        <v>30</v>
      </c>
      <c r="B48" s="7"/>
      <c r="C48" s="7"/>
      <c r="D48" s="7"/>
      <c r="E48" s="56"/>
      <c r="F48" s="7"/>
      <c r="G48" s="7"/>
      <c r="H48" s="7"/>
      <c r="I48" s="7"/>
      <c r="J48" s="7"/>
      <c r="K48" s="62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ht="15.75" customHeight="1">
      <c r="A49" s="6">
        <v>31</v>
      </c>
      <c r="B49" s="7"/>
      <c r="C49" s="7"/>
      <c r="D49" s="7"/>
      <c r="E49" s="56"/>
      <c r="F49" s="7"/>
      <c r="G49" s="7"/>
      <c r="H49" s="7"/>
      <c r="I49" s="7"/>
      <c r="J49" s="7"/>
      <c r="K49" s="62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ht="15.75" customHeight="1">
      <c r="A50" s="6">
        <v>32</v>
      </c>
      <c r="B50" s="7"/>
      <c r="C50" s="7"/>
      <c r="D50" s="7"/>
      <c r="E50" s="41"/>
      <c r="F50" s="7"/>
      <c r="G50" s="7"/>
      <c r="H50" s="7"/>
      <c r="I50" s="7"/>
      <c r="J50" s="7"/>
      <c r="K50" s="62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ht="15.75" customHeight="1">
      <c r="A51" s="6">
        <v>33</v>
      </c>
      <c r="B51" s="7"/>
      <c r="C51" s="7"/>
      <c r="D51" s="7"/>
      <c r="E51" s="41"/>
      <c r="F51" s="7"/>
      <c r="G51" s="7"/>
      <c r="H51" s="7"/>
      <c r="I51" s="7"/>
      <c r="J51" s="7"/>
      <c r="K51" s="62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ht="15.75" customHeight="1">
      <c r="A52" s="6">
        <v>34</v>
      </c>
      <c r="B52" s="7"/>
      <c r="C52" s="7"/>
      <c r="D52" s="7"/>
      <c r="E52" s="41"/>
      <c r="F52" s="7"/>
      <c r="G52" s="7"/>
      <c r="H52" s="7"/>
      <c r="I52" s="7"/>
      <c r="J52" s="7"/>
      <c r="K52" s="62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 ht="15.75" customHeight="1">
      <c r="A53" s="6">
        <v>35</v>
      </c>
      <c r="B53" s="7"/>
      <c r="C53" s="7"/>
      <c r="D53" s="7"/>
      <c r="E53" s="7"/>
      <c r="F53" s="7"/>
      <c r="G53" s="7"/>
      <c r="H53" s="7"/>
      <c r="I53" s="7"/>
      <c r="J53" s="7"/>
      <c r="K53" s="62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 ht="15.75" customHeight="1">
      <c r="A54" s="6">
        <v>36</v>
      </c>
      <c r="B54" s="7"/>
      <c r="C54" s="7"/>
      <c r="D54" s="7"/>
      <c r="E54" s="7"/>
      <c r="F54" s="7"/>
      <c r="G54" s="7"/>
      <c r="H54" s="7"/>
      <c r="I54" s="7"/>
      <c r="J54" s="7"/>
      <c r="K54" s="62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 ht="15.75" customHeight="1">
      <c r="A55" s="6">
        <v>37</v>
      </c>
      <c r="B55" s="7"/>
      <c r="C55" s="7"/>
      <c r="D55" s="7"/>
      <c r="E55" s="41"/>
      <c r="F55" s="7"/>
      <c r="G55" s="7"/>
      <c r="H55" s="7"/>
      <c r="I55" s="7"/>
      <c r="J55" s="7"/>
      <c r="K55" s="62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 ht="15.75" customHeight="1">
      <c r="A56" s="6">
        <v>38</v>
      </c>
      <c r="B56" s="7"/>
      <c r="C56" s="7"/>
      <c r="D56" s="7"/>
      <c r="E56" s="7"/>
      <c r="F56" s="7"/>
      <c r="G56" s="7"/>
      <c r="H56" s="7"/>
      <c r="I56" s="7"/>
      <c r="J56" s="7"/>
      <c r="K56" s="62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 ht="15.75" customHeight="1">
      <c r="A57" s="6">
        <v>39</v>
      </c>
      <c r="B57" s="7"/>
      <c r="C57" s="7"/>
      <c r="D57" s="7"/>
      <c r="E57" s="7"/>
      <c r="F57" s="7"/>
      <c r="G57" s="7"/>
      <c r="H57" s="7"/>
      <c r="I57" s="7"/>
      <c r="J57" s="7"/>
      <c r="K57" s="62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 ht="15.75" customHeight="1">
      <c r="A58" s="6">
        <v>40</v>
      </c>
      <c r="B58" s="7"/>
      <c r="C58" s="7"/>
      <c r="D58" s="7"/>
      <c r="E58" s="41"/>
      <c r="F58" s="7"/>
      <c r="G58" s="7"/>
      <c r="H58" s="7"/>
      <c r="I58" s="7"/>
      <c r="J58" s="7"/>
      <c r="K58" s="62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ht="15.75" customHeight="1">
      <c r="A59" s="6">
        <v>41</v>
      </c>
      <c r="B59" s="7"/>
      <c r="C59" s="7"/>
      <c r="D59" s="7"/>
      <c r="E59" s="41"/>
      <c r="F59" s="7"/>
      <c r="G59" s="7"/>
      <c r="H59" s="7"/>
      <c r="I59" s="7"/>
      <c r="J59" s="7"/>
      <c r="K59" s="62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ht="15.75" customHeight="1">
      <c r="A60" s="6">
        <v>42</v>
      </c>
      <c r="B60" s="7"/>
      <c r="C60" s="7"/>
      <c r="D60" s="7"/>
      <c r="E60" s="41"/>
      <c r="F60" s="7"/>
      <c r="G60" s="7"/>
      <c r="H60" s="7"/>
      <c r="I60" s="7"/>
      <c r="J60" s="7"/>
      <c r="K60" s="62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ht="15.75" customHeight="1">
      <c r="A61" s="6">
        <v>43</v>
      </c>
      <c r="B61" s="7"/>
      <c r="C61" s="7"/>
      <c r="D61" s="7"/>
      <c r="E61" s="41"/>
      <c r="F61" s="7"/>
      <c r="G61" s="7"/>
      <c r="H61" s="7"/>
      <c r="I61" s="7"/>
      <c r="J61" s="7"/>
      <c r="K61" s="62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 ht="15.75" customHeight="1">
      <c r="A62" s="6">
        <v>44</v>
      </c>
      <c r="B62" s="7"/>
      <c r="C62" s="7"/>
      <c r="D62" s="7"/>
      <c r="E62" s="41"/>
      <c r="F62" s="7"/>
      <c r="G62" s="7"/>
      <c r="H62" s="7"/>
      <c r="I62" s="7"/>
      <c r="J62" s="7"/>
      <c r="K62" s="62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 ht="15.75" customHeight="1">
      <c r="A63" s="6">
        <v>45</v>
      </c>
      <c r="B63" s="7"/>
      <c r="C63" s="7"/>
      <c r="D63" s="7"/>
      <c r="E63" s="41"/>
      <c r="F63" s="7"/>
      <c r="G63" s="7"/>
      <c r="H63" s="7"/>
      <c r="I63" s="7"/>
      <c r="J63" s="7"/>
      <c r="K63" s="62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 ht="15.75" customHeight="1">
      <c r="A64" s="6">
        <v>46</v>
      </c>
      <c r="B64" s="7"/>
      <c r="C64" s="7"/>
      <c r="D64" s="7"/>
      <c r="E64" s="7"/>
      <c r="F64" s="7"/>
      <c r="G64" s="7"/>
      <c r="H64" s="7"/>
      <c r="I64" s="7"/>
      <c r="J64" s="7"/>
      <c r="K64" s="62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 ht="15.75" customHeight="1">
      <c r="A65" s="6">
        <v>47</v>
      </c>
      <c r="B65" s="7"/>
      <c r="C65" s="7"/>
      <c r="D65" s="7"/>
      <c r="E65" s="41"/>
      <c r="F65" s="7"/>
      <c r="G65" s="7"/>
      <c r="H65" s="7"/>
      <c r="I65" s="7"/>
      <c r="J65" s="7"/>
      <c r="K65" s="62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 ht="15.75" customHeight="1">
      <c r="A66" s="6">
        <v>48</v>
      </c>
      <c r="B66" s="7"/>
      <c r="C66" s="7"/>
      <c r="D66" s="7"/>
      <c r="E66" s="41"/>
      <c r="F66" s="7"/>
      <c r="G66" s="7"/>
      <c r="H66" s="7"/>
      <c r="I66" s="7"/>
      <c r="J66" s="7"/>
      <c r="K66" s="62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 ht="15.75" customHeight="1">
      <c r="A67" s="6">
        <v>49</v>
      </c>
      <c r="B67" s="7"/>
      <c r="C67" s="7"/>
      <c r="D67" s="7"/>
      <c r="E67" s="41"/>
      <c r="F67" s="7"/>
      <c r="G67" s="7"/>
      <c r="H67" s="7"/>
      <c r="I67" s="7"/>
      <c r="J67" s="7"/>
      <c r="K67" s="62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ht="15.75" customHeight="1">
      <c r="A68" s="6">
        <v>50</v>
      </c>
      <c r="B68" s="7"/>
      <c r="C68" s="7"/>
      <c r="D68" s="7"/>
      <c r="E68" s="41"/>
      <c r="F68" s="7"/>
      <c r="G68" s="7"/>
      <c r="H68" s="7"/>
      <c r="I68" s="7"/>
      <c r="J68" s="7"/>
      <c r="K68" s="62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ht="15.75" customHeight="1">
      <c r="A69" s="6">
        <v>51</v>
      </c>
      <c r="B69" s="7"/>
      <c r="C69" s="7"/>
      <c r="D69" s="7"/>
      <c r="E69" s="41"/>
      <c r="F69" s="7"/>
      <c r="G69" s="7"/>
      <c r="H69" s="7"/>
      <c r="I69" s="7"/>
      <c r="J69" s="65"/>
      <c r="K69" s="62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ht="15.75" customHeight="1">
      <c r="A70" s="6">
        <v>52</v>
      </c>
      <c r="B70" s="7"/>
      <c r="C70" s="7"/>
      <c r="D70" s="7"/>
      <c r="E70" s="41"/>
      <c r="F70" s="7"/>
      <c r="G70" s="7"/>
      <c r="H70" s="7"/>
      <c r="I70" s="7"/>
      <c r="J70" s="65"/>
      <c r="K70" s="62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 ht="15.75" customHeight="1">
      <c r="A71" s="6">
        <v>53</v>
      </c>
      <c r="B71" s="7"/>
      <c r="C71" s="7"/>
      <c r="D71" s="7"/>
      <c r="E71" s="7"/>
      <c r="F71" s="7"/>
      <c r="G71" s="7"/>
      <c r="H71" s="7"/>
      <c r="I71" s="7"/>
      <c r="J71" s="65"/>
      <c r="K71" s="62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 ht="15.75" customHeight="1">
      <c r="A72" s="6">
        <v>54</v>
      </c>
      <c r="B72" s="7"/>
      <c r="C72" s="7"/>
      <c r="D72" s="7"/>
      <c r="E72" s="41"/>
      <c r="F72" s="7"/>
      <c r="G72" s="7"/>
      <c r="H72" s="7"/>
      <c r="I72" s="7"/>
      <c r="J72" s="65"/>
      <c r="K72" s="62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 ht="15.75" customHeight="1">
      <c r="A73" s="6">
        <v>55</v>
      </c>
      <c r="B73" s="7"/>
      <c r="C73" s="7"/>
      <c r="D73" s="7"/>
      <c r="E73" s="41"/>
      <c r="F73" s="7"/>
      <c r="G73" s="7"/>
      <c r="H73" s="7"/>
      <c r="I73" s="7"/>
      <c r="J73" s="65"/>
      <c r="K73" s="62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 ht="15.75" customHeight="1">
      <c r="A74" s="6">
        <v>56</v>
      </c>
      <c r="B74" s="7"/>
      <c r="C74" s="7"/>
      <c r="D74" s="7"/>
      <c r="E74" s="41"/>
      <c r="F74" s="7"/>
      <c r="G74" s="7"/>
      <c r="H74" s="7"/>
      <c r="I74" s="7"/>
      <c r="J74" s="65"/>
      <c r="K74" s="62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 ht="15.75" customHeight="1">
      <c r="A75" s="6">
        <v>57</v>
      </c>
      <c r="B75" s="7"/>
      <c r="C75" s="7"/>
      <c r="D75" s="7"/>
      <c r="E75" s="41"/>
      <c r="F75" s="7"/>
      <c r="G75" s="7"/>
      <c r="H75" s="7"/>
      <c r="I75" s="7"/>
      <c r="J75" s="65"/>
      <c r="K75" s="62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 ht="15.75" customHeight="1">
      <c r="A76" s="6">
        <v>58</v>
      </c>
      <c r="B76" s="7"/>
      <c r="C76" s="7"/>
      <c r="D76" s="7"/>
      <c r="E76" s="7"/>
      <c r="F76" s="7"/>
      <c r="G76" s="7"/>
      <c r="H76" s="7"/>
      <c r="I76" s="7"/>
      <c r="J76" s="65"/>
      <c r="K76" s="62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ht="15.75" customHeight="1">
      <c r="A77" s="6">
        <v>59</v>
      </c>
      <c r="B77" s="7"/>
      <c r="C77" s="7"/>
      <c r="D77" s="7"/>
      <c r="E77" s="7"/>
      <c r="F77" s="7"/>
      <c r="G77" s="7"/>
      <c r="H77" s="7"/>
      <c r="I77" s="7"/>
      <c r="J77" s="65"/>
      <c r="K77" s="62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ht="15.75" customHeight="1">
      <c r="A78" s="6">
        <v>60</v>
      </c>
      <c r="B78" s="7"/>
      <c r="C78" s="7"/>
      <c r="D78" s="7"/>
      <c r="E78" s="41"/>
      <c r="F78" s="7"/>
      <c r="G78" s="7"/>
      <c r="H78" s="7"/>
      <c r="I78" s="7"/>
      <c r="J78" s="65"/>
      <c r="K78" s="62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ht="15.75" customHeight="1">
      <c r="A79" s="6">
        <v>61</v>
      </c>
      <c r="B79" s="7"/>
      <c r="C79" s="7"/>
      <c r="D79" s="7"/>
      <c r="E79" s="41"/>
      <c r="F79" s="7"/>
      <c r="G79" s="7"/>
      <c r="H79" s="7"/>
      <c r="I79" s="7"/>
      <c r="J79" s="7"/>
      <c r="K79" s="62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 ht="15.75" customHeight="1">
      <c r="A80" s="6">
        <v>62</v>
      </c>
      <c r="B80" s="7"/>
      <c r="C80" s="7"/>
      <c r="D80" s="7"/>
      <c r="E80" s="41"/>
      <c r="F80" s="7"/>
      <c r="G80" s="7"/>
      <c r="H80" s="7"/>
      <c r="I80" s="7"/>
      <c r="J80" s="66"/>
      <c r="K80" s="62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 ht="15.75" customHeight="1">
      <c r="A81" s="6">
        <v>63</v>
      </c>
      <c r="B81" s="7"/>
      <c r="C81" s="7"/>
      <c r="D81" s="7"/>
      <c r="E81" s="41"/>
      <c r="F81" s="7"/>
      <c r="G81" s="7"/>
      <c r="H81" s="7"/>
      <c r="I81" s="7"/>
      <c r="J81" s="66"/>
      <c r="K81" s="62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 ht="15.75" customHeight="1">
      <c r="A82" s="6">
        <v>64</v>
      </c>
      <c r="B82" s="7"/>
      <c r="C82" s="7"/>
      <c r="D82" s="7"/>
      <c r="E82" s="41"/>
      <c r="F82" s="7"/>
      <c r="G82" s="7"/>
      <c r="H82" s="7"/>
      <c r="I82" s="7"/>
      <c r="J82" s="7"/>
      <c r="K82" s="62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 ht="15.75" customHeight="1">
      <c r="A83" s="6">
        <v>65</v>
      </c>
      <c r="B83" s="7"/>
      <c r="C83" s="7"/>
      <c r="D83" s="7"/>
      <c r="E83" s="41"/>
      <c r="F83" s="7"/>
      <c r="G83" s="7"/>
      <c r="H83" s="7"/>
      <c r="I83" s="7"/>
      <c r="J83" s="66"/>
      <c r="K83" s="62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 ht="15.75" customHeight="1">
      <c r="A84" s="6">
        <v>66</v>
      </c>
      <c r="B84" s="7"/>
      <c r="C84" s="7"/>
      <c r="D84" s="7"/>
      <c r="E84" s="41"/>
      <c r="F84" s="7"/>
      <c r="G84" s="7"/>
      <c r="H84" s="7"/>
      <c r="I84" s="7"/>
      <c r="J84" s="66"/>
      <c r="K84" s="62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 ht="15.75" customHeight="1">
      <c r="A85" s="6">
        <v>67</v>
      </c>
      <c r="B85" s="7"/>
      <c r="C85" s="7"/>
      <c r="D85" s="7"/>
      <c r="E85" s="41"/>
      <c r="F85" s="7"/>
      <c r="G85" s="7"/>
      <c r="H85" s="7"/>
      <c r="I85" s="7"/>
      <c r="J85" s="7"/>
      <c r="K85" s="62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ht="15.75" customHeight="1">
      <c r="A86" s="6">
        <v>68</v>
      </c>
      <c r="B86" s="7"/>
      <c r="C86" s="7"/>
      <c r="D86" s="7"/>
      <c r="E86" s="41"/>
      <c r="F86" s="7"/>
      <c r="G86" s="7"/>
      <c r="H86" s="7"/>
      <c r="I86" s="7"/>
      <c r="J86" s="7"/>
      <c r="K86" s="62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ht="15.75" customHeight="1">
      <c r="A87" s="6">
        <v>69</v>
      </c>
      <c r="B87" s="7"/>
      <c r="C87" s="7"/>
      <c r="D87" s="7"/>
      <c r="E87" s="41"/>
      <c r="F87" s="7"/>
      <c r="G87" s="7"/>
      <c r="H87" s="7"/>
      <c r="I87" s="7"/>
      <c r="J87" s="66"/>
      <c r="K87" s="62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ht="15.75" customHeight="1">
      <c r="A88" s="6">
        <v>70</v>
      </c>
      <c r="B88" s="7"/>
      <c r="C88" s="7"/>
      <c r="D88" s="7"/>
      <c r="E88" s="41"/>
      <c r="F88" s="7"/>
      <c r="G88" s="7"/>
      <c r="H88" s="7"/>
      <c r="I88" s="7"/>
      <c r="J88" s="7"/>
      <c r="K88" s="62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 ht="15.75" customHeight="1">
      <c r="A89" s="6">
        <v>71</v>
      </c>
      <c r="B89" s="7"/>
      <c r="C89" s="7"/>
      <c r="D89" s="7"/>
      <c r="E89" s="41"/>
      <c r="F89" s="7"/>
      <c r="G89" s="7"/>
      <c r="H89" s="7"/>
      <c r="I89" s="7"/>
      <c r="J89" s="66"/>
      <c r="K89" s="62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 ht="15.75" customHeight="1">
      <c r="A90" s="6">
        <v>72</v>
      </c>
      <c r="B90" s="7"/>
      <c r="C90" s="7"/>
      <c r="D90" s="7"/>
      <c r="E90" s="41"/>
      <c r="F90" s="7"/>
      <c r="G90" s="7"/>
      <c r="H90" s="7"/>
      <c r="I90" s="7"/>
      <c r="J90" s="66"/>
      <c r="K90" s="62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 ht="15.75" customHeight="1">
      <c r="A91" s="6">
        <v>73</v>
      </c>
      <c r="B91" s="7"/>
      <c r="C91" s="7"/>
      <c r="D91" s="7"/>
      <c r="E91" s="41"/>
      <c r="F91" s="7"/>
      <c r="G91" s="7"/>
      <c r="H91" s="7"/>
      <c r="I91" s="7"/>
      <c r="J91" s="67"/>
      <c r="K91" s="62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 ht="15.75" customHeight="1">
      <c r="A92" s="6">
        <v>74</v>
      </c>
      <c r="B92" s="7"/>
      <c r="C92" s="7"/>
      <c r="D92" s="7"/>
      <c r="E92" s="41"/>
      <c r="F92" s="7"/>
      <c r="G92" s="7"/>
      <c r="H92" s="7"/>
      <c r="I92" s="7"/>
      <c r="J92" s="66"/>
      <c r="K92" s="62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 ht="15.75" customHeight="1">
      <c r="A93" s="6">
        <v>75</v>
      </c>
      <c r="B93" s="7"/>
      <c r="C93" s="7"/>
      <c r="D93" s="7"/>
      <c r="E93" s="41"/>
      <c r="F93" s="7"/>
      <c r="G93" s="7"/>
      <c r="H93" s="7"/>
      <c r="I93" s="7"/>
      <c r="J93" s="66"/>
      <c r="K93" s="62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 ht="15.75" customHeight="1">
      <c r="A94" s="6">
        <v>76</v>
      </c>
      <c r="B94" s="7"/>
      <c r="C94" s="7"/>
      <c r="D94" s="7"/>
      <c r="E94" s="56"/>
      <c r="F94" s="7"/>
      <c r="G94" s="7"/>
      <c r="H94" s="7"/>
      <c r="I94" s="7"/>
      <c r="J94" s="67"/>
      <c r="K94" s="62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ht="15.75" customHeight="1">
      <c r="A95" s="6">
        <v>77</v>
      </c>
      <c r="B95" s="7"/>
      <c r="C95" s="7"/>
      <c r="D95" s="7"/>
      <c r="E95" s="56"/>
      <c r="F95" s="7"/>
      <c r="G95" s="7"/>
      <c r="H95" s="7"/>
      <c r="I95" s="7"/>
      <c r="J95" s="66"/>
      <c r="K95" s="62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ht="15.75" customHeight="1">
      <c r="A96" s="6">
        <v>78</v>
      </c>
      <c r="B96" s="7"/>
      <c r="C96" s="7"/>
      <c r="D96" s="7"/>
      <c r="E96" s="41"/>
      <c r="F96" s="50"/>
      <c r="G96" s="50"/>
      <c r="H96" s="7"/>
      <c r="I96" s="7"/>
      <c r="J96" s="7"/>
      <c r="K96" s="62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ht="15.75" customHeight="1">
      <c r="A97" s="6">
        <v>79</v>
      </c>
      <c r="B97" s="7"/>
      <c r="C97" s="7"/>
      <c r="D97" s="7"/>
      <c r="E97" s="41"/>
      <c r="F97" s="50"/>
      <c r="G97" s="50"/>
      <c r="H97" s="50"/>
      <c r="I97" s="7"/>
      <c r="J97" s="7"/>
      <c r="K97" s="62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 ht="15.75" customHeight="1">
      <c r="A98" s="6">
        <v>80</v>
      </c>
      <c r="B98" s="7"/>
      <c r="C98" s="7"/>
      <c r="D98" s="7"/>
      <c r="E98" s="41"/>
      <c r="F98" s="50"/>
      <c r="G98" s="50"/>
      <c r="H98" s="50"/>
      <c r="I98" s="7"/>
      <c r="J98" s="7"/>
      <c r="K98" s="62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 ht="15.75" customHeight="1">
      <c r="A99" s="6">
        <v>81</v>
      </c>
      <c r="B99" s="7"/>
      <c r="C99" s="7"/>
      <c r="D99" s="7"/>
      <c r="E99" s="41"/>
      <c r="F99" s="50"/>
      <c r="G99" s="50"/>
      <c r="H99" s="50"/>
      <c r="I99" s="7"/>
      <c r="J99" s="7"/>
      <c r="K99" s="62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 ht="15.75" customHeight="1">
      <c r="A100" s="6">
        <v>82</v>
      </c>
      <c r="B100" s="7"/>
      <c r="C100" s="7"/>
      <c r="D100" s="7"/>
      <c r="E100" s="41"/>
      <c r="F100" s="50"/>
      <c r="G100" s="50"/>
      <c r="H100" s="50"/>
      <c r="I100" s="7"/>
      <c r="J100" s="7"/>
      <c r="K100" s="62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 ht="15.75" customHeight="1">
      <c r="A101" s="6">
        <v>83</v>
      </c>
      <c r="B101" s="7"/>
      <c r="C101" s="7"/>
      <c r="D101" s="7"/>
      <c r="E101" s="41"/>
      <c r="F101" s="50"/>
      <c r="G101" s="50"/>
      <c r="H101" s="50"/>
      <c r="I101" s="7"/>
      <c r="J101" s="7"/>
      <c r="K101" s="62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 ht="15.75" customHeight="1">
      <c r="A102" s="6">
        <v>84</v>
      </c>
      <c r="B102" s="7"/>
      <c r="C102" s="7"/>
      <c r="D102" s="7"/>
      <c r="E102" s="41"/>
      <c r="F102" s="50"/>
      <c r="G102" s="50"/>
      <c r="H102" s="50"/>
      <c r="I102" s="7"/>
      <c r="J102" s="7"/>
      <c r="K102" s="62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 ht="15.75" customHeight="1">
      <c r="A103" s="6">
        <v>85</v>
      </c>
      <c r="B103" s="7"/>
      <c r="C103" s="7"/>
      <c r="D103" s="7"/>
      <c r="E103" s="41"/>
      <c r="F103" s="50"/>
      <c r="G103" s="50"/>
      <c r="H103" s="50"/>
      <c r="I103" s="7"/>
      <c r="J103" s="7"/>
      <c r="K103" s="62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ht="15.75" customHeight="1">
      <c r="A104" s="6">
        <v>86</v>
      </c>
      <c r="B104" s="7"/>
      <c r="C104" s="50"/>
      <c r="D104" s="7"/>
      <c r="E104" s="41"/>
      <c r="F104" s="50"/>
      <c r="G104" s="50"/>
      <c r="H104" s="50"/>
      <c r="I104" s="7"/>
      <c r="J104" s="7"/>
      <c r="K104" s="62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ht="15.75" customHeight="1">
      <c r="A105" s="6">
        <v>87</v>
      </c>
      <c r="B105" s="7"/>
      <c r="C105" s="50"/>
      <c r="D105" s="7"/>
      <c r="E105" s="41"/>
      <c r="F105" s="50"/>
      <c r="G105" s="50"/>
      <c r="H105" s="50"/>
      <c r="I105" s="7"/>
      <c r="J105" s="7"/>
      <c r="K105" s="62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ht="15.75" customHeight="1">
      <c r="A106" s="6">
        <v>88</v>
      </c>
      <c r="B106" s="7"/>
      <c r="C106" s="7"/>
      <c r="D106" s="7"/>
      <c r="E106" s="41"/>
      <c r="F106" s="50"/>
      <c r="G106" s="50"/>
      <c r="H106" s="50"/>
      <c r="I106" s="7"/>
      <c r="J106" s="7"/>
      <c r="K106" s="62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 ht="15.75" customHeight="1">
      <c r="A107" s="6">
        <v>89</v>
      </c>
      <c r="B107" s="7"/>
      <c r="C107" s="50"/>
      <c r="D107" s="7"/>
      <c r="E107" s="41"/>
      <c r="F107" s="50"/>
      <c r="G107" s="50"/>
      <c r="H107" s="50"/>
      <c r="I107" s="7"/>
      <c r="J107" s="7"/>
      <c r="K107" s="62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 ht="15.75" customHeight="1">
      <c r="A108" s="6">
        <v>90</v>
      </c>
      <c r="B108" s="7"/>
      <c r="C108" s="50"/>
      <c r="D108" s="7"/>
      <c r="E108" s="41"/>
      <c r="F108" s="50"/>
      <c r="G108" s="50"/>
      <c r="H108" s="50"/>
      <c r="I108" s="7"/>
      <c r="J108" s="7"/>
      <c r="K108" s="62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 ht="15.75" customHeight="1">
      <c r="A109" s="6">
        <v>91</v>
      </c>
      <c r="B109" s="7"/>
      <c r="C109" s="50"/>
      <c r="D109" s="7"/>
      <c r="E109" s="41"/>
      <c r="F109" s="50"/>
      <c r="G109" s="50"/>
      <c r="H109" s="50"/>
      <c r="I109" s="7"/>
      <c r="J109" s="7"/>
      <c r="K109" s="62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 ht="15.75" customHeight="1">
      <c r="A110" s="6">
        <v>92</v>
      </c>
      <c r="B110" s="7"/>
      <c r="C110" s="7"/>
      <c r="D110" s="7"/>
      <c r="E110" s="41"/>
      <c r="F110" s="50"/>
      <c r="G110" s="50"/>
      <c r="H110" s="50"/>
      <c r="I110" s="7"/>
      <c r="J110" s="7"/>
      <c r="K110" s="62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 ht="15.75" customHeight="1">
      <c r="A111" s="6">
        <v>93</v>
      </c>
      <c r="B111" s="7"/>
      <c r="C111" s="50"/>
      <c r="D111" s="7"/>
      <c r="E111" s="41"/>
      <c r="F111" s="50"/>
      <c r="G111" s="50"/>
      <c r="H111" s="50"/>
      <c r="I111" s="7"/>
      <c r="J111" s="7"/>
      <c r="K111" s="62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 ht="15.75" customHeight="1">
      <c r="A112" s="6">
        <v>94</v>
      </c>
      <c r="B112" s="7"/>
      <c r="C112" s="7"/>
      <c r="D112" s="7"/>
      <c r="E112" s="41"/>
      <c r="F112" s="50"/>
      <c r="G112" s="50"/>
      <c r="H112" s="50"/>
      <c r="I112" s="7"/>
      <c r="J112" s="7"/>
      <c r="K112" s="62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ht="15.75" customHeight="1">
      <c r="A113" s="6">
        <v>95</v>
      </c>
      <c r="B113" s="50"/>
      <c r="C113" s="50"/>
      <c r="D113" s="50"/>
      <c r="E113" s="41"/>
      <c r="F113" s="50"/>
      <c r="G113" s="50"/>
      <c r="H113" s="50"/>
      <c r="I113" s="50"/>
      <c r="J113" s="7"/>
      <c r="K113" s="62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ht="15.75" customHeight="1">
      <c r="A114" s="6">
        <v>96</v>
      </c>
      <c r="B114" s="50"/>
      <c r="C114" s="50"/>
      <c r="D114" s="50"/>
      <c r="E114" s="50"/>
      <c r="F114" s="50"/>
      <c r="G114" s="50"/>
      <c r="H114" s="50"/>
      <c r="I114" s="50"/>
      <c r="J114" s="7"/>
      <c r="K114" s="62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ht="15.75" customHeight="1">
      <c r="A115" s="6">
        <v>97</v>
      </c>
      <c r="B115" s="50"/>
      <c r="C115" s="50"/>
      <c r="D115" s="50"/>
      <c r="E115" s="41"/>
      <c r="F115" s="50"/>
      <c r="G115" s="50"/>
      <c r="H115" s="50"/>
      <c r="I115" s="7"/>
      <c r="J115" s="7"/>
      <c r="K115" s="62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 ht="15.75" customHeight="1">
      <c r="A116" s="6">
        <v>98</v>
      </c>
      <c r="B116" s="7"/>
      <c r="C116" s="50"/>
      <c r="D116" s="50"/>
      <c r="E116" s="41"/>
      <c r="F116" s="50"/>
      <c r="G116" s="50"/>
      <c r="H116" s="50"/>
      <c r="I116" s="7"/>
      <c r="J116" s="7"/>
      <c r="K116" s="62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 ht="15.75" customHeight="1">
      <c r="A117" s="6">
        <v>99</v>
      </c>
      <c r="B117" s="7"/>
      <c r="C117" s="7"/>
      <c r="D117" s="7"/>
      <c r="E117" s="41"/>
      <c r="F117" s="7"/>
      <c r="G117" s="7"/>
      <c r="H117" s="7"/>
      <c r="I117" s="7"/>
      <c r="J117" s="7"/>
      <c r="K117" s="62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 ht="15.75" customHeight="1">
      <c r="A118" s="6">
        <v>100</v>
      </c>
      <c r="B118" s="7"/>
      <c r="C118" s="7"/>
      <c r="D118" s="7"/>
      <c r="E118" s="7"/>
      <c r="F118" s="7"/>
      <c r="G118" s="7"/>
      <c r="H118" s="7"/>
      <c r="I118" s="7"/>
      <c r="J118" s="7"/>
      <c r="K118" s="62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 ht="15.75" customHeight="1">
      <c r="A119" s="6">
        <v>101</v>
      </c>
      <c r="B119" s="7"/>
      <c r="C119" s="7"/>
      <c r="D119" s="7"/>
      <c r="E119" s="41"/>
      <c r="F119" s="7"/>
      <c r="G119" s="7"/>
      <c r="H119" s="7"/>
      <c r="I119" s="7"/>
      <c r="J119" s="7"/>
      <c r="K119" s="62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 ht="15.75" customHeight="1">
      <c r="A120" s="6">
        <v>102</v>
      </c>
      <c r="B120" s="7"/>
      <c r="C120" s="7"/>
      <c r="D120" s="7"/>
      <c r="E120" s="41"/>
      <c r="F120" s="7"/>
      <c r="G120" s="7"/>
      <c r="H120" s="7"/>
      <c r="I120" s="7"/>
      <c r="J120" s="7"/>
      <c r="K120" s="62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 ht="15.75" customHeight="1">
      <c r="A121" s="6">
        <v>103</v>
      </c>
      <c r="B121" s="7"/>
      <c r="C121" s="7"/>
      <c r="D121" s="7"/>
      <c r="E121" s="41"/>
      <c r="F121" s="7"/>
      <c r="G121" s="7"/>
      <c r="H121" s="7"/>
      <c r="I121" s="7"/>
      <c r="J121" s="7"/>
      <c r="K121" s="62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ht="15.75" customHeight="1">
      <c r="A122" s="6">
        <v>104</v>
      </c>
      <c r="B122" s="7"/>
      <c r="C122" s="7"/>
      <c r="D122" s="7"/>
      <c r="E122" s="41"/>
      <c r="F122" s="7"/>
      <c r="G122" s="7"/>
      <c r="H122" s="7"/>
      <c r="I122" s="7"/>
      <c r="J122" s="7"/>
      <c r="K122" s="62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ht="15.75" customHeight="1">
      <c r="A123" s="6">
        <v>105</v>
      </c>
      <c r="B123" s="7"/>
      <c r="C123" s="7"/>
      <c r="D123" s="7"/>
      <c r="E123" s="41"/>
      <c r="F123" s="7"/>
      <c r="G123" s="7"/>
      <c r="H123" s="7"/>
      <c r="I123" s="7"/>
      <c r="J123" s="7"/>
      <c r="K123" s="62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ht="15.75" customHeight="1">
      <c r="A124" s="6">
        <v>106</v>
      </c>
      <c r="B124" s="7"/>
      <c r="C124" s="7"/>
      <c r="D124" s="7"/>
      <c r="E124" s="41"/>
      <c r="F124" s="7"/>
      <c r="G124" s="7"/>
      <c r="H124" s="7"/>
      <c r="I124" s="7"/>
      <c r="J124" s="7"/>
      <c r="K124" s="62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 ht="15.75" customHeight="1">
      <c r="A125" s="6">
        <v>107</v>
      </c>
      <c r="B125" s="7"/>
      <c r="C125" s="7"/>
      <c r="D125" s="7"/>
      <c r="E125" s="41"/>
      <c r="F125" s="7"/>
      <c r="G125" s="7"/>
      <c r="H125" s="7"/>
      <c r="I125" s="7"/>
      <c r="J125" s="7"/>
      <c r="K125" s="62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 ht="15.75" customHeight="1">
      <c r="A126" s="6">
        <v>108</v>
      </c>
      <c r="B126" s="7"/>
      <c r="C126" s="7"/>
      <c r="D126" s="7"/>
      <c r="E126" s="41"/>
      <c r="F126" s="7"/>
      <c r="G126" s="7"/>
      <c r="H126" s="7"/>
      <c r="I126" s="7"/>
      <c r="J126" s="7"/>
      <c r="K126" s="62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 ht="15.75" customHeight="1">
      <c r="A127" s="6">
        <v>109</v>
      </c>
      <c r="B127" s="7"/>
      <c r="C127" s="7"/>
      <c r="D127" s="7"/>
      <c r="E127" s="41"/>
      <c r="F127" s="7"/>
      <c r="G127" s="7"/>
      <c r="H127" s="7"/>
      <c r="I127" s="7"/>
      <c r="J127" s="7"/>
      <c r="K127" s="62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 ht="15.75" customHeight="1">
      <c r="A128" s="6">
        <v>110</v>
      </c>
      <c r="B128" s="7"/>
      <c r="C128" s="7"/>
      <c r="D128" s="7"/>
      <c r="E128" s="41"/>
      <c r="F128" s="7"/>
      <c r="G128" s="7"/>
      <c r="H128" s="7"/>
      <c r="I128" s="7"/>
      <c r="J128" s="7"/>
      <c r="K128" s="62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 ht="15.75" customHeight="1">
      <c r="A129" s="6">
        <v>111</v>
      </c>
      <c r="B129" s="7"/>
      <c r="C129" s="7"/>
      <c r="D129" s="7"/>
      <c r="E129" s="41"/>
      <c r="F129" s="7"/>
      <c r="G129" s="7"/>
      <c r="H129" s="7"/>
      <c r="I129" s="7"/>
      <c r="J129" s="7"/>
      <c r="K129" s="62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 ht="15.75" customHeight="1">
      <c r="A130" s="6">
        <v>112</v>
      </c>
      <c r="B130" s="7"/>
      <c r="C130" s="7"/>
      <c r="D130" s="7"/>
      <c r="E130" s="41"/>
      <c r="F130" s="7"/>
      <c r="G130" s="7"/>
      <c r="H130" s="7"/>
      <c r="I130" s="7"/>
      <c r="J130" s="7"/>
      <c r="K130" s="62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 ht="15.75" customHeight="1">
      <c r="A131" s="6">
        <v>113</v>
      </c>
      <c r="B131" s="7"/>
      <c r="C131" s="7"/>
      <c r="D131" s="7"/>
      <c r="E131" s="41"/>
      <c r="F131" s="7"/>
      <c r="G131" s="7"/>
      <c r="H131" s="7"/>
      <c r="I131" s="7"/>
      <c r="J131" s="7"/>
      <c r="K131" s="62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 ht="15.75" customHeight="1">
      <c r="A132" s="6">
        <v>114</v>
      </c>
      <c r="B132" s="7"/>
      <c r="C132" s="7"/>
      <c r="D132" s="7"/>
      <c r="E132" s="41"/>
      <c r="F132" s="7"/>
      <c r="G132" s="7"/>
      <c r="H132" s="7"/>
      <c r="I132" s="7"/>
      <c r="J132" s="7"/>
      <c r="K132" s="62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 ht="15.75" customHeight="1">
      <c r="A133" s="6">
        <v>115</v>
      </c>
      <c r="B133" s="7"/>
      <c r="C133" s="7"/>
      <c r="D133" s="7"/>
      <c r="E133" s="41"/>
      <c r="F133" s="7"/>
      <c r="G133" s="7"/>
      <c r="H133" s="7"/>
      <c r="I133" s="7"/>
      <c r="J133" s="7"/>
      <c r="K133" s="62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 ht="15.75" customHeight="1">
      <c r="A134" s="6">
        <v>116</v>
      </c>
      <c r="B134" s="7"/>
      <c r="C134" s="7"/>
      <c r="D134" s="7"/>
      <c r="E134" s="41"/>
      <c r="F134" s="7"/>
      <c r="G134" s="7"/>
      <c r="H134" s="7"/>
      <c r="I134" s="7"/>
      <c r="J134" s="7"/>
      <c r="K134" s="62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 ht="15.75" customHeight="1">
      <c r="A135" s="6">
        <v>117</v>
      </c>
      <c r="B135" s="7"/>
      <c r="C135" s="7"/>
      <c r="D135" s="7"/>
      <c r="E135" s="41"/>
      <c r="F135" s="7"/>
      <c r="G135" s="7"/>
      <c r="H135" s="7"/>
      <c r="I135" s="7"/>
      <c r="J135" s="7"/>
      <c r="K135" s="62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 ht="15.75" customHeight="1">
      <c r="A136" s="6">
        <v>118</v>
      </c>
      <c r="B136" s="7"/>
      <c r="C136" s="7"/>
      <c r="D136" s="7"/>
      <c r="E136" s="41"/>
      <c r="F136" s="7"/>
      <c r="G136" s="7"/>
      <c r="H136" s="7"/>
      <c r="I136" s="7"/>
      <c r="J136" s="7"/>
      <c r="K136" s="62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 ht="15.75" customHeight="1">
      <c r="A137" s="6">
        <v>119</v>
      </c>
      <c r="B137" s="7"/>
      <c r="C137" s="7"/>
      <c r="D137" s="7"/>
      <c r="E137" s="41"/>
      <c r="F137" s="7"/>
      <c r="G137" s="7"/>
      <c r="H137" s="7"/>
      <c r="I137" s="7"/>
      <c r="J137" s="7"/>
      <c r="K137" s="62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 ht="15.75" customHeight="1">
      <c r="A138" s="6">
        <v>120</v>
      </c>
      <c r="B138" s="7"/>
      <c r="C138" s="7"/>
      <c r="D138" s="7"/>
      <c r="E138" s="41"/>
      <c r="F138" s="7"/>
      <c r="G138" s="7"/>
      <c r="H138" s="7"/>
      <c r="I138" s="7"/>
      <c r="J138" s="7"/>
      <c r="K138" s="62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 ht="15.75" customHeight="1">
      <c r="A139" s="6">
        <v>121</v>
      </c>
      <c r="B139" s="7"/>
      <c r="C139" s="7"/>
      <c r="D139" s="7"/>
      <c r="E139" s="7"/>
      <c r="F139" s="7"/>
      <c r="G139" s="7"/>
      <c r="H139" s="7"/>
      <c r="I139" s="7"/>
      <c r="J139" s="7"/>
      <c r="K139" s="62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 ht="15.75" customHeight="1">
      <c r="A140" s="6">
        <v>122</v>
      </c>
      <c r="B140" s="7"/>
      <c r="C140" s="7"/>
      <c r="D140" s="7"/>
      <c r="E140" s="41"/>
      <c r="F140" s="7"/>
      <c r="G140" s="7"/>
      <c r="H140" s="7"/>
      <c r="I140" s="7"/>
      <c r="J140" s="7"/>
      <c r="K140" s="62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 ht="15.75" customHeight="1">
      <c r="A141" s="6">
        <v>123</v>
      </c>
      <c r="B141" s="7"/>
      <c r="C141" s="7"/>
      <c r="D141" s="7"/>
      <c r="E141" s="41"/>
      <c r="F141" s="7"/>
      <c r="G141" s="7"/>
      <c r="H141" s="7"/>
      <c r="I141" s="7"/>
      <c r="J141" s="7"/>
      <c r="K141" s="62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 ht="15.75" customHeight="1">
      <c r="A142" s="6">
        <v>124</v>
      </c>
      <c r="B142" s="7"/>
      <c r="C142" s="7"/>
      <c r="D142" s="7"/>
      <c r="E142" s="7"/>
      <c r="F142" s="7"/>
      <c r="G142" s="7"/>
      <c r="H142" s="7"/>
      <c r="I142" s="7"/>
      <c r="J142" s="7"/>
      <c r="K142" s="62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 ht="15.75" customHeight="1">
      <c r="A143" s="6">
        <v>125</v>
      </c>
      <c r="B143" s="7"/>
      <c r="C143" s="7"/>
      <c r="D143" s="7"/>
      <c r="E143" s="7"/>
      <c r="F143" s="7"/>
      <c r="G143" s="7"/>
      <c r="H143" s="7"/>
      <c r="I143" s="7"/>
      <c r="J143" s="7"/>
      <c r="K143" s="62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 ht="15.75" customHeight="1">
      <c r="A144" s="6">
        <v>126</v>
      </c>
      <c r="B144" s="7"/>
      <c r="C144" s="7"/>
      <c r="D144" s="7"/>
      <c r="E144" s="7"/>
      <c r="F144" s="7"/>
      <c r="G144" s="7"/>
      <c r="H144" s="7"/>
      <c r="I144" s="7"/>
      <c r="J144" s="7"/>
      <c r="K144" s="62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 ht="15.75" customHeight="1">
      <c r="A145" s="6">
        <v>127</v>
      </c>
      <c r="B145" s="7"/>
      <c r="C145" s="7"/>
      <c r="D145" s="7"/>
      <c r="E145" s="7"/>
      <c r="F145" s="7"/>
      <c r="G145" s="7"/>
      <c r="H145" s="7"/>
      <c r="I145" s="7"/>
      <c r="J145" s="7"/>
      <c r="K145" s="62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 ht="15.75" customHeight="1">
      <c r="A146" s="6">
        <v>128</v>
      </c>
      <c r="B146" s="7"/>
      <c r="C146" s="7"/>
      <c r="D146" s="7"/>
      <c r="E146" s="7"/>
      <c r="F146" s="7"/>
      <c r="G146" s="7"/>
      <c r="H146" s="7"/>
      <c r="I146" s="7"/>
      <c r="J146" s="7"/>
      <c r="K146" s="62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 ht="15.75" customHeight="1">
      <c r="A147" s="6">
        <v>129</v>
      </c>
      <c r="B147" s="7"/>
      <c r="C147" s="7"/>
      <c r="D147" s="7"/>
      <c r="E147" s="7"/>
      <c r="F147" s="7"/>
      <c r="G147" s="7"/>
      <c r="H147" s="7"/>
      <c r="I147" s="7"/>
      <c r="J147" s="7"/>
      <c r="K147" s="62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 ht="15.75" customHeight="1">
      <c r="A148" s="6">
        <v>130</v>
      </c>
      <c r="B148" s="7"/>
      <c r="C148" s="7"/>
      <c r="D148" s="7"/>
      <c r="E148" s="7"/>
      <c r="F148" s="7"/>
      <c r="G148" s="7"/>
      <c r="H148" s="7"/>
      <c r="I148" s="7"/>
      <c r="J148" s="7"/>
      <c r="K148" s="62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 ht="15.75" customHeight="1">
      <c r="A149" s="6">
        <v>131</v>
      </c>
      <c r="B149" s="7"/>
      <c r="C149" s="7"/>
      <c r="D149" s="7"/>
      <c r="E149" s="7"/>
      <c r="F149" s="7"/>
      <c r="G149" s="7"/>
      <c r="H149" s="7"/>
      <c r="I149" s="7"/>
      <c r="J149" s="7"/>
      <c r="K149" s="62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 ht="15.75" customHeight="1">
      <c r="A150" s="6">
        <v>132</v>
      </c>
      <c r="B150" s="7"/>
      <c r="C150" s="7"/>
      <c r="D150" s="7"/>
      <c r="E150" s="7"/>
      <c r="F150" s="7"/>
      <c r="G150" s="7"/>
      <c r="H150" s="7"/>
      <c r="I150" s="7"/>
      <c r="J150" s="7"/>
      <c r="K150" s="62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 ht="15.75" customHeight="1">
      <c r="A151" s="6">
        <v>133</v>
      </c>
      <c r="B151" s="7"/>
      <c r="C151" s="7"/>
      <c r="D151" s="7"/>
      <c r="E151" s="7"/>
      <c r="F151" s="7"/>
      <c r="G151" s="7"/>
      <c r="H151" s="7"/>
      <c r="I151" s="7"/>
      <c r="J151" s="7"/>
      <c r="K151" s="62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 ht="15.75" customHeight="1">
      <c r="A152" s="6">
        <v>134</v>
      </c>
      <c r="B152" s="7"/>
      <c r="C152" s="7"/>
      <c r="D152" s="7"/>
      <c r="E152" s="7"/>
      <c r="F152" s="7"/>
      <c r="G152" s="7"/>
      <c r="H152" s="7"/>
      <c r="I152" s="7"/>
      <c r="J152" s="7"/>
      <c r="K152" s="62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 ht="15.75" customHeight="1">
      <c r="A153" s="6">
        <v>135</v>
      </c>
      <c r="B153" s="7"/>
      <c r="C153" s="7"/>
      <c r="D153" s="7"/>
      <c r="E153" s="7"/>
      <c r="F153" s="7"/>
      <c r="G153" s="7"/>
      <c r="H153" s="7"/>
      <c r="I153" s="7"/>
      <c r="J153" s="7"/>
      <c r="K153" s="62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 ht="15.75" customHeight="1">
      <c r="A154" s="6">
        <v>136</v>
      </c>
      <c r="B154" s="7"/>
      <c r="C154" s="7"/>
      <c r="D154" s="7"/>
      <c r="E154" s="7"/>
      <c r="F154" s="7"/>
      <c r="G154" s="7"/>
      <c r="H154" s="7"/>
      <c r="I154" s="7"/>
      <c r="J154" s="7"/>
      <c r="K154" s="62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 ht="15.75" customHeight="1">
      <c r="A155" s="6">
        <v>137</v>
      </c>
      <c r="B155" s="7"/>
      <c r="C155" s="7"/>
      <c r="D155" s="7"/>
      <c r="E155" s="7"/>
      <c r="F155" s="7"/>
      <c r="G155" s="7"/>
      <c r="H155" s="7"/>
      <c r="I155" s="7"/>
      <c r="J155" s="7"/>
      <c r="K155" s="62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 ht="15.75" customHeight="1">
      <c r="A156" s="6">
        <v>138</v>
      </c>
      <c r="B156" s="7"/>
      <c r="C156" s="7"/>
      <c r="D156" s="7"/>
      <c r="E156" s="7"/>
      <c r="F156" s="7"/>
      <c r="G156" s="7"/>
      <c r="H156" s="7"/>
      <c r="I156" s="7"/>
      <c r="J156" s="7"/>
      <c r="K156" s="62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 ht="15.75" customHeight="1">
      <c r="A157" s="6">
        <v>139</v>
      </c>
      <c r="B157" s="7"/>
      <c r="C157" s="7"/>
      <c r="D157" s="7"/>
      <c r="E157" s="7"/>
      <c r="F157" s="7"/>
      <c r="G157" s="7"/>
      <c r="H157" s="7"/>
      <c r="I157" s="7"/>
      <c r="J157" s="7"/>
      <c r="K157" s="62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 ht="15.75" customHeight="1">
      <c r="A158" s="6">
        <v>140</v>
      </c>
      <c r="B158" s="7"/>
      <c r="C158" s="7"/>
      <c r="D158" s="7"/>
      <c r="E158" s="7"/>
      <c r="F158" s="7"/>
      <c r="G158" s="7"/>
      <c r="H158" s="7"/>
      <c r="I158" s="7"/>
      <c r="J158" s="7"/>
      <c r="K158" s="62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 ht="15.75" customHeight="1">
      <c r="A159" s="6">
        <v>141</v>
      </c>
      <c r="B159" s="7"/>
      <c r="C159" s="7"/>
      <c r="D159" s="7"/>
      <c r="E159" s="7"/>
      <c r="F159" s="7"/>
      <c r="G159" s="7"/>
      <c r="H159" s="7"/>
      <c r="I159" s="7"/>
      <c r="J159" s="7"/>
      <c r="K159" s="62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 ht="15.75" customHeight="1">
      <c r="A160" s="6">
        <v>142</v>
      </c>
      <c r="B160" s="7"/>
      <c r="C160" s="7"/>
      <c r="D160" s="7"/>
      <c r="E160" s="7"/>
      <c r="F160" s="7"/>
      <c r="G160" s="7"/>
      <c r="H160" s="7"/>
      <c r="I160" s="7"/>
      <c r="J160" s="7"/>
      <c r="K160" s="62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 ht="15.75" customHeight="1">
      <c r="A161" s="6">
        <v>143</v>
      </c>
      <c r="B161" s="7"/>
      <c r="C161" s="7"/>
      <c r="D161" s="7"/>
      <c r="E161" s="7"/>
      <c r="F161" s="7"/>
      <c r="G161" s="7"/>
      <c r="H161" s="7"/>
      <c r="I161" s="7"/>
      <c r="J161" s="7"/>
      <c r="K161" s="62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 ht="15.75" customHeight="1">
      <c r="A162" s="6">
        <v>144</v>
      </c>
      <c r="B162" s="7"/>
      <c r="C162" s="7"/>
      <c r="D162" s="7"/>
      <c r="E162" s="7"/>
      <c r="F162" s="7"/>
      <c r="G162" s="7"/>
      <c r="H162" s="7"/>
      <c r="I162" s="7"/>
      <c r="J162" s="7"/>
      <c r="K162" s="62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1:25" ht="15.75" customHeight="1">
      <c r="A163" s="6">
        <v>145</v>
      </c>
      <c r="B163" s="7"/>
      <c r="C163" s="7"/>
      <c r="D163" s="7"/>
      <c r="E163" s="7"/>
      <c r="F163" s="7"/>
      <c r="G163" s="7"/>
      <c r="H163" s="7"/>
      <c r="I163" s="7"/>
      <c r="J163" s="7"/>
      <c r="K163" s="62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 ht="15.75" customHeight="1">
      <c r="A164" s="6">
        <v>146</v>
      </c>
      <c r="B164" s="7"/>
      <c r="C164" s="7"/>
      <c r="D164" s="7"/>
      <c r="E164" s="7"/>
      <c r="F164" s="7"/>
      <c r="G164" s="7"/>
      <c r="H164" s="7"/>
      <c r="I164" s="7"/>
      <c r="J164" s="7"/>
      <c r="K164" s="62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 ht="15.75" customHeight="1">
      <c r="A165" s="6">
        <v>147</v>
      </c>
      <c r="B165" s="7"/>
      <c r="C165" s="7"/>
      <c r="D165" s="7"/>
      <c r="E165" s="7"/>
      <c r="F165" s="7"/>
      <c r="G165" s="7"/>
      <c r="H165" s="7"/>
      <c r="I165" s="7"/>
      <c r="J165" s="7"/>
      <c r="K165" s="62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 ht="15.75" customHeight="1">
      <c r="A166" s="6">
        <v>148</v>
      </c>
      <c r="B166" s="7"/>
      <c r="C166" s="7"/>
      <c r="D166" s="7"/>
      <c r="E166" s="7"/>
      <c r="F166" s="7"/>
      <c r="G166" s="7"/>
      <c r="H166" s="7"/>
      <c r="I166" s="7"/>
      <c r="J166" s="7"/>
      <c r="K166" s="62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 ht="15.75" customHeight="1">
      <c r="A167" s="6">
        <v>149</v>
      </c>
      <c r="B167" s="7"/>
      <c r="C167" s="7"/>
      <c r="D167" s="7"/>
      <c r="E167" s="7"/>
      <c r="F167" s="7"/>
      <c r="G167" s="7"/>
      <c r="H167" s="7"/>
      <c r="I167" s="7"/>
      <c r="J167" s="7"/>
      <c r="K167" s="62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 ht="15.75" customHeight="1">
      <c r="A168" s="6">
        <v>150</v>
      </c>
      <c r="B168" s="7"/>
      <c r="C168" s="7"/>
      <c r="D168" s="7"/>
      <c r="E168" s="7"/>
      <c r="F168" s="7"/>
      <c r="G168" s="7"/>
      <c r="H168" s="7"/>
      <c r="I168" s="7"/>
      <c r="J168" s="7"/>
      <c r="K168" s="62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 ht="15.75" customHeight="1">
      <c r="A169" s="6"/>
      <c r="B169" s="7"/>
      <c r="C169" s="7"/>
      <c r="D169" s="7"/>
      <c r="E169" s="7"/>
      <c r="F169" s="7"/>
      <c r="G169" s="7"/>
      <c r="H169" s="7"/>
      <c r="I169" s="7"/>
      <c r="J169" s="7"/>
      <c r="K169" s="62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 ht="15.75" customHeight="1">
      <c r="A170" s="6"/>
      <c r="B170" s="7"/>
      <c r="C170" s="7"/>
      <c r="D170" s="7"/>
      <c r="E170" s="7"/>
      <c r="F170" s="7"/>
      <c r="G170" s="7"/>
      <c r="H170" s="7"/>
      <c r="I170" s="7"/>
      <c r="J170" s="7"/>
      <c r="K170" s="62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 ht="15.75" customHeight="1">
      <c r="A171" s="6"/>
      <c r="B171" s="7"/>
      <c r="C171" s="7"/>
      <c r="D171" s="7"/>
      <c r="E171" s="7"/>
      <c r="F171" s="7"/>
      <c r="G171" s="7"/>
      <c r="H171" s="7"/>
      <c r="I171" s="7"/>
      <c r="J171" s="7"/>
      <c r="K171" s="62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62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62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62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62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62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62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62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62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62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62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62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62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62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62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62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62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62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62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62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62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62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62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62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62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62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62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62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62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62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62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62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62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62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62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62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62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62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62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62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62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62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62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62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62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62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62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62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62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62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spans="1:25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62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spans="1:25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62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1:25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62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1:25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62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spans="1: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62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spans="1:25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62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spans="1:25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62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spans="1:25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62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spans="1:25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62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1:25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62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spans="1:25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62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1:25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62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spans="1:25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62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spans="1:25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62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spans="1:2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62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spans="1:25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62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spans="1:25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62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1:25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62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1:25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62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1:25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62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spans="1:25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62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spans="1:25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62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spans="1:25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62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1:25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62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1:2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62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1:25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62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spans="1:25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62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spans="1:25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62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1:25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62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1:25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62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spans="1:25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62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1:25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62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spans="1:25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62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spans="1:25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62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spans="1:2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62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1:25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62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spans="1:25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62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5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62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spans="1:25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62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spans="1:25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62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spans="1:25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62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spans="1:25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62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spans="1:25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62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spans="1:25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62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spans="1:2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62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spans="1:25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62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spans="1:25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62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spans="1:25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62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spans="1:25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62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spans="1:25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62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spans="1:25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62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spans="1:25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62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spans="1:25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62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spans="1:25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62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spans="1:2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62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spans="1:25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62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spans="1:25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62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spans="1:25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62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spans="1:25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62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spans="1:25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62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spans="1:25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62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spans="1:25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62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spans="1:25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62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spans="1:25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62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spans="1:2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62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spans="1:25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62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spans="1:25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62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spans="1:25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62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spans="1:25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62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spans="1:25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62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spans="1:25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62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spans="1:25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62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spans="1:25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62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spans="1:25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62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spans="1:2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62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spans="1:25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62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spans="1:25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62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spans="1:25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62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spans="1:25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62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spans="1:25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62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spans="1:25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62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spans="1:25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62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spans="1:25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62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spans="1:25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62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spans="1:2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62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spans="1:25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62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spans="1:25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62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spans="1:25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62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spans="1:25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62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spans="1:25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62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spans="1:25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62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spans="1:25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62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spans="1:25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62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spans="1:25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62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spans="1:2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62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spans="1:25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62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spans="1:25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62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spans="1:25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62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spans="1:25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62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spans="1:25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62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spans="1:25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62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spans="1:25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62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spans="1:25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62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spans="1:25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62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spans="1: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62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spans="1:25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62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spans="1:25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62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spans="1:25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62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spans="1:25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62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spans="1:25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62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spans="1:25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62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spans="1:25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62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spans="1:25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62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spans="1:25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62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spans="1:2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62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spans="1:25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62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spans="1:25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62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spans="1:25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62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spans="1:25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62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spans="1:25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62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spans="1:25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62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spans="1:25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62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spans="1:25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62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spans="1:25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62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spans="1:2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62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spans="1:25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62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spans="1:25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62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spans="1:25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62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spans="1:25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62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spans="1:25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62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spans="1:25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62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spans="1:25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62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spans="1:25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62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spans="1:25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62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spans="1:2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62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spans="1:25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62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spans="1:25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62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spans="1:25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62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spans="1:25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62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spans="1:25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62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spans="1:25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62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spans="1:25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62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spans="1:25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62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spans="1:25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62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spans="1:2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62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spans="1:25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62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spans="1:25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62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spans="1:25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62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I2"/>
    <mergeCell ref="A3:I3"/>
    <mergeCell ref="A4:E4"/>
    <mergeCell ref="F4:I4"/>
    <mergeCell ref="A16:I16"/>
    <mergeCell ref="A17:D17"/>
    <mergeCell ref="E17:I17"/>
  </mergeCells>
  <dataValidations count="4">
    <dataValidation type="list" allowBlank="1" showErrorMessage="1" sqref="H97:H100 H122:H125" xr:uid="{A0A600BC-2DAE-48EA-B4E1-2C1A0E4A13F9}">
      <formula1>"Pending,Sent,Followed Up,Responded"</formula1>
    </dataValidation>
    <dataValidation type="list" allowBlank="1" showErrorMessage="1" sqref="H19:H43 H45:H52 H54:H55 H57:H60 H62:H71 H73:H90 H92:H95 H101:H120 H126:H168" xr:uid="{C5853A4A-E8B9-4880-9681-16DD91CCA197}">
      <formula1>"Pending,Sent,Followed Up,Responded,Completed"</formula1>
    </dataValidation>
    <dataValidation type="list" allowBlank="1" showErrorMessage="1" sqref="H72" xr:uid="{30C256F4-71ED-4CA9-A8D4-396F2A2AD7A1}">
      <formula1>"Pending,Sent,Followed Up,Responded,OOO"</formula1>
    </dataValidation>
    <dataValidation type="list" allowBlank="1" showErrorMessage="1" sqref="H44 H53 H56 H61 H91 H96 H121" xr:uid="{63823EB9-2C61-43D0-89B5-C9984B4B4988}">
      <formula1>"Pending,Sent,Followed Up,Responded,Bounced"</formula1>
    </dataValidation>
  </dataValidations>
  <hyperlinks>
    <hyperlink ref="A1" location="OVERVIEW!A1" display="JP Morgan Application Tracker" xr:uid="{3020832C-7902-4B7A-AE1C-9172BE728CB7}"/>
    <hyperlink ref="E20" r:id="rId1" xr:uid="{FA64561D-BBCC-4183-9B17-F726B9BDFA79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Y1000"/>
  <sheetViews>
    <sheetView workbookViewId="0">
      <pane ySplit="2" topLeftCell="A3" activePane="bottomLeft" state="frozen"/>
      <selection pane="bottomLeft" sqref="A1:I2"/>
    </sheetView>
  </sheetViews>
  <sheetFormatPr defaultColWidth="12.6328125" defaultRowHeight="15" customHeight="1"/>
  <cols>
    <col min="1" max="1" width="3.90625" customWidth="1"/>
    <col min="2" max="2" width="23.36328125" customWidth="1"/>
    <col min="3" max="3" width="29.26953125" customWidth="1"/>
    <col min="4" max="4" width="14.90625" customWidth="1"/>
    <col min="5" max="6" width="14" customWidth="1"/>
    <col min="7" max="8" width="12.26953125" customWidth="1"/>
    <col min="9" max="9" width="50.90625" customWidth="1"/>
  </cols>
  <sheetData>
    <row r="1" spans="1:25" ht="24.75" customHeight="1">
      <c r="A1" s="102" t="s">
        <v>720</v>
      </c>
      <c r="B1" s="72"/>
      <c r="C1" s="72"/>
      <c r="D1" s="72"/>
      <c r="E1" s="72"/>
      <c r="F1" s="72"/>
      <c r="G1" s="72"/>
      <c r="H1" s="72"/>
      <c r="I1" s="72"/>
      <c r="J1" s="7"/>
      <c r="K1" s="62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15.75" customHeight="1">
      <c r="A2" s="72"/>
      <c r="B2" s="72"/>
      <c r="C2" s="72"/>
      <c r="D2" s="72"/>
      <c r="E2" s="72"/>
      <c r="F2" s="72"/>
      <c r="G2" s="72"/>
      <c r="H2" s="72"/>
      <c r="I2" s="72"/>
      <c r="J2" s="7"/>
      <c r="K2" s="62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10.5" customHeight="1">
      <c r="A3" s="97"/>
      <c r="B3" s="72"/>
      <c r="C3" s="72"/>
      <c r="D3" s="72"/>
      <c r="E3" s="72"/>
      <c r="F3" s="72"/>
      <c r="G3" s="72"/>
      <c r="H3" s="72"/>
      <c r="I3" s="72"/>
      <c r="J3" s="7"/>
      <c r="K3" s="62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15.75" customHeight="1">
      <c r="A4" s="99" t="s">
        <v>564</v>
      </c>
      <c r="B4" s="72"/>
      <c r="C4" s="72"/>
      <c r="D4" s="72"/>
      <c r="E4" s="72"/>
      <c r="F4" s="100" t="s">
        <v>566</v>
      </c>
      <c r="G4" s="72"/>
      <c r="H4" s="72"/>
      <c r="I4" s="72"/>
      <c r="J4" s="63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5.75" customHeight="1">
      <c r="A5" s="51" t="s">
        <v>6</v>
      </c>
      <c r="B5" s="52" t="s">
        <v>567</v>
      </c>
      <c r="C5" s="52" t="s">
        <v>568</v>
      </c>
      <c r="D5" s="52" t="s">
        <v>569</v>
      </c>
      <c r="E5" s="52" t="s">
        <v>571</v>
      </c>
      <c r="F5" s="52" t="s">
        <v>572</v>
      </c>
      <c r="G5" s="52" t="s">
        <v>566</v>
      </c>
      <c r="H5" s="52" t="s">
        <v>573</v>
      </c>
      <c r="I5" s="52" t="s">
        <v>574</v>
      </c>
      <c r="J5" s="63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15.75" customHeight="1">
      <c r="A6" s="7">
        <v>1</v>
      </c>
      <c r="B6" s="7"/>
      <c r="C6" s="7"/>
      <c r="D6" s="7"/>
      <c r="E6" s="14"/>
      <c r="F6" s="14"/>
      <c r="G6" s="53"/>
      <c r="H6" s="7"/>
      <c r="I6" s="7"/>
      <c r="J6" s="63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15.75" customHeight="1">
      <c r="A7" s="7">
        <v>2</v>
      </c>
      <c r="B7" s="7"/>
      <c r="C7" s="7"/>
      <c r="D7" s="7"/>
      <c r="E7" s="14"/>
      <c r="F7" s="14"/>
      <c r="G7" s="53"/>
      <c r="H7" s="7"/>
      <c r="I7" s="7"/>
      <c r="J7" s="63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15.75" customHeight="1">
      <c r="A8" s="7">
        <v>3</v>
      </c>
      <c r="B8" s="7"/>
      <c r="C8" s="7"/>
      <c r="D8" s="7"/>
      <c r="E8" s="14"/>
      <c r="F8" s="14"/>
      <c r="G8" s="53"/>
      <c r="H8" s="7"/>
      <c r="I8" s="14"/>
      <c r="J8" s="63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5.75" customHeight="1">
      <c r="A9" s="7">
        <v>4</v>
      </c>
      <c r="B9" s="7"/>
      <c r="C9" s="7"/>
      <c r="D9" s="7"/>
      <c r="E9" s="14"/>
      <c r="F9" s="7"/>
      <c r="G9" s="53"/>
      <c r="H9" s="7"/>
      <c r="I9" s="7"/>
      <c r="J9" s="63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5.75" customHeight="1">
      <c r="A10" s="7">
        <v>5</v>
      </c>
      <c r="B10" s="7"/>
      <c r="C10" s="7"/>
      <c r="D10" s="7"/>
      <c r="E10" s="14"/>
      <c r="F10" s="7"/>
      <c r="G10" s="53"/>
      <c r="H10" s="7"/>
      <c r="I10" s="7"/>
      <c r="J10" s="63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5.75" customHeight="1">
      <c r="A11" s="7">
        <v>6</v>
      </c>
      <c r="B11" s="7"/>
      <c r="C11" s="7"/>
      <c r="D11" s="7"/>
      <c r="E11" s="14"/>
      <c r="F11" s="7"/>
      <c r="G11" s="53"/>
      <c r="H11" s="7"/>
      <c r="I11" s="7"/>
      <c r="J11" s="63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15.75" customHeight="1">
      <c r="A12" s="7">
        <v>7</v>
      </c>
      <c r="B12" s="7"/>
      <c r="C12" s="7"/>
      <c r="D12" s="7"/>
      <c r="E12" s="14"/>
      <c r="F12" s="7"/>
      <c r="G12" s="53"/>
      <c r="H12" s="7"/>
      <c r="I12" s="7"/>
      <c r="J12" s="63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15.75" customHeight="1">
      <c r="A13" s="7">
        <v>8</v>
      </c>
      <c r="B13" s="7"/>
      <c r="C13" s="7"/>
      <c r="D13" s="7"/>
      <c r="E13" s="14"/>
      <c r="F13" s="7"/>
      <c r="G13" s="53"/>
      <c r="H13" s="7"/>
      <c r="I13" s="7"/>
      <c r="J13" s="63"/>
      <c r="K13" s="64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15.75" customHeight="1">
      <c r="A14" s="7">
        <v>9</v>
      </c>
      <c r="B14" s="7"/>
      <c r="C14" s="7"/>
      <c r="D14" s="7"/>
      <c r="E14" s="14"/>
      <c r="F14" s="7"/>
      <c r="G14" s="60"/>
      <c r="H14" s="7"/>
      <c r="I14" s="7"/>
      <c r="J14" s="63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5.75" customHeight="1">
      <c r="A15" s="7">
        <v>10</v>
      </c>
      <c r="B15" s="7"/>
      <c r="C15" s="7"/>
      <c r="D15" s="7"/>
      <c r="E15" s="14"/>
      <c r="F15" s="7"/>
      <c r="G15" s="53"/>
      <c r="H15" s="7"/>
      <c r="I15" s="7"/>
      <c r="J15" s="63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0.5" customHeight="1">
      <c r="A16" s="97"/>
      <c r="B16" s="72"/>
      <c r="C16" s="72"/>
      <c r="D16" s="72"/>
      <c r="E16" s="72"/>
      <c r="F16" s="72"/>
      <c r="G16" s="72"/>
      <c r="H16" s="72"/>
      <c r="I16" s="72"/>
      <c r="J16" s="7"/>
      <c r="K16" s="62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ht="15.75" customHeight="1">
      <c r="A17" s="99" t="s">
        <v>564</v>
      </c>
      <c r="B17" s="72"/>
      <c r="C17" s="72"/>
      <c r="D17" s="72"/>
      <c r="E17" s="100" t="s">
        <v>598</v>
      </c>
      <c r="F17" s="72"/>
      <c r="G17" s="72"/>
      <c r="H17" s="72"/>
      <c r="I17" s="72"/>
      <c r="J17" s="7"/>
      <c r="K17" s="62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ht="15.75" customHeight="1">
      <c r="A18" s="52" t="s">
        <v>6</v>
      </c>
      <c r="B18" s="52" t="s">
        <v>567</v>
      </c>
      <c r="C18" s="52" t="s">
        <v>568</v>
      </c>
      <c r="D18" s="52" t="s">
        <v>569</v>
      </c>
      <c r="E18" s="52" t="s">
        <v>600</v>
      </c>
      <c r="F18" s="52"/>
      <c r="G18" s="52"/>
      <c r="H18" s="52" t="s">
        <v>604</v>
      </c>
      <c r="I18" s="52" t="s">
        <v>605</v>
      </c>
      <c r="J18" s="7"/>
      <c r="K18" s="62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ht="15.75" customHeight="1">
      <c r="A19" s="7">
        <v>1</v>
      </c>
      <c r="B19" s="7" t="s">
        <v>721</v>
      </c>
      <c r="C19" s="7"/>
      <c r="D19" s="7" t="s">
        <v>722</v>
      </c>
      <c r="E19" s="68" t="s">
        <v>723</v>
      </c>
      <c r="F19" s="7"/>
      <c r="G19" s="7"/>
      <c r="H19" s="7" t="s">
        <v>641</v>
      </c>
      <c r="I19" s="7" t="s">
        <v>724</v>
      </c>
      <c r="J19" s="7"/>
      <c r="K19" s="62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ht="15.75" customHeight="1">
      <c r="A20" s="7">
        <v>2</v>
      </c>
      <c r="B20" s="7" t="s">
        <v>725</v>
      </c>
      <c r="C20" s="7"/>
      <c r="D20" s="7" t="s">
        <v>726</v>
      </c>
      <c r="E20" s="68" t="s">
        <v>727</v>
      </c>
      <c r="F20" s="7"/>
      <c r="G20" s="7"/>
      <c r="H20" s="7"/>
      <c r="I20" s="7"/>
      <c r="J20" s="7"/>
      <c r="K20" s="62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ht="15.75" customHeight="1">
      <c r="A21" s="7">
        <v>3</v>
      </c>
      <c r="B21" s="7" t="s">
        <v>728</v>
      </c>
      <c r="C21" s="7"/>
      <c r="D21" s="7" t="s">
        <v>722</v>
      </c>
      <c r="E21" s="68" t="s">
        <v>729</v>
      </c>
      <c r="F21" s="7"/>
      <c r="G21" s="7"/>
      <c r="H21" s="7"/>
      <c r="I21" s="7" t="s">
        <v>730</v>
      </c>
      <c r="J21" s="7"/>
      <c r="K21" s="62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ht="15.75" customHeight="1">
      <c r="A22" s="6">
        <v>4</v>
      </c>
      <c r="B22" s="7" t="s">
        <v>731</v>
      </c>
      <c r="C22" s="7"/>
      <c r="D22" s="7" t="s">
        <v>726</v>
      </c>
      <c r="E22" s="69" t="s">
        <v>732</v>
      </c>
      <c r="F22" s="7"/>
      <c r="G22" s="7"/>
      <c r="H22" s="7"/>
      <c r="I22" s="7" t="s">
        <v>733</v>
      </c>
      <c r="J22" s="7"/>
      <c r="K22" s="62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ht="15.75" customHeight="1">
      <c r="A23" s="6">
        <v>5</v>
      </c>
      <c r="B23" s="7" t="s">
        <v>734</v>
      </c>
      <c r="C23" s="7"/>
      <c r="D23" s="7" t="s">
        <v>735</v>
      </c>
      <c r="E23" s="69" t="s">
        <v>736</v>
      </c>
      <c r="F23" s="7"/>
      <c r="G23" s="7"/>
      <c r="H23" s="7"/>
      <c r="I23" s="7" t="s">
        <v>737</v>
      </c>
      <c r="J23" s="7"/>
      <c r="K23" s="62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ht="15.75" customHeight="1">
      <c r="A24" s="6">
        <v>6</v>
      </c>
      <c r="B24" s="7" t="s">
        <v>738</v>
      </c>
      <c r="C24" s="7"/>
      <c r="D24" s="7" t="s">
        <v>726</v>
      </c>
      <c r="E24" s="70" t="s">
        <v>739</v>
      </c>
      <c r="F24" s="7"/>
      <c r="G24" s="7"/>
      <c r="H24" s="7"/>
      <c r="I24" s="7" t="s">
        <v>740</v>
      </c>
      <c r="J24" s="7"/>
      <c r="K24" s="62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ht="15.75" customHeight="1">
      <c r="A25" s="6">
        <v>7</v>
      </c>
      <c r="B25" s="7" t="s">
        <v>741</v>
      </c>
      <c r="C25" s="7"/>
      <c r="D25" s="7" t="s">
        <v>722</v>
      </c>
      <c r="E25" s="70" t="s">
        <v>742</v>
      </c>
      <c r="F25" s="7"/>
      <c r="G25" s="7"/>
      <c r="H25" s="7" t="s">
        <v>641</v>
      </c>
      <c r="I25" s="7" t="s">
        <v>743</v>
      </c>
      <c r="J25" s="7"/>
      <c r="K25" s="62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ht="15.75" customHeight="1">
      <c r="A26" s="6">
        <v>8</v>
      </c>
      <c r="B26" s="7"/>
      <c r="C26" s="7"/>
      <c r="D26" s="7"/>
      <c r="E26" s="41"/>
      <c r="F26" s="7"/>
      <c r="G26" s="7"/>
      <c r="H26" s="7"/>
      <c r="I26" s="7"/>
      <c r="J26" s="7"/>
      <c r="K26" s="62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 ht="15.75" customHeight="1">
      <c r="A27" s="6">
        <v>9</v>
      </c>
      <c r="B27" s="7"/>
      <c r="C27" s="7"/>
      <c r="D27" s="7"/>
      <c r="E27" s="41"/>
      <c r="F27" s="7"/>
      <c r="G27" s="7"/>
      <c r="H27" s="7"/>
      <c r="I27" s="7"/>
      <c r="J27" s="7"/>
      <c r="K27" s="62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ht="15.75" customHeight="1">
      <c r="A28" s="6">
        <v>10</v>
      </c>
      <c r="B28" s="7"/>
      <c r="C28" s="7"/>
      <c r="D28" s="7"/>
      <c r="E28" s="41"/>
      <c r="F28" s="7"/>
      <c r="G28" s="7"/>
      <c r="H28" s="7"/>
      <c r="I28" s="7"/>
      <c r="J28" s="7"/>
      <c r="K28" s="62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ht="15.75" customHeight="1">
      <c r="A29" s="6">
        <v>11</v>
      </c>
      <c r="B29" s="7"/>
      <c r="C29" s="7"/>
      <c r="D29" s="7"/>
      <c r="E29" s="41"/>
      <c r="F29" s="7"/>
      <c r="G29" s="7"/>
      <c r="H29" s="7"/>
      <c r="I29" s="7"/>
      <c r="J29" s="7"/>
      <c r="K29" s="62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ht="15.75" customHeight="1">
      <c r="A30" s="6">
        <v>12</v>
      </c>
      <c r="B30" s="7"/>
      <c r="C30" s="7"/>
      <c r="D30" s="7"/>
      <c r="E30" s="41"/>
      <c r="F30" s="7"/>
      <c r="G30" s="7"/>
      <c r="H30" s="7"/>
      <c r="I30" s="7"/>
      <c r="J30" s="7"/>
      <c r="K30" s="62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ht="15.75" customHeight="1">
      <c r="A31" s="6">
        <v>13</v>
      </c>
      <c r="B31" s="7"/>
      <c r="C31" s="7"/>
      <c r="D31" s="7"/>
      <c r="E31" s="41"/>
      <c r="F31" s="7"/>
      <c r="G31" s="7"/>
      <c r="H31" s="7"/>
      <c r="I31" s="7"/>
      <c r="J31" s="7"/>
      <c r="K31" s="62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ht="15.75" customHeight="1">
      <c r="A32" s="6">
        <v>14</v>
      </c>
      <c r="B32" s="7"/>
      <c r="C32" s="7"/>
      <c r="D32" s="7"/>
      <c r="E32" s="41"/>
      <c r="F32" s="7"/>
      <c r="G32" s="7"/>
      <c r="H32" s="7"/>
      <c r="I32" s="7"/>
      <c r="J32" s="7"/>
      <c r="K32" s="62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ht="15.75" customHeight="1">
      <c r="A33" s="6">
        <v>15</v>
      </c>
      <c r="B33" s="7"/>
      <c r="C33" s="7"/>
      <c r="D33" s="7"/>
      <c r="E33" s="41"/>
      <c r="F33" s="7"/>
      <c r="G33" s="7"/>
      <c r="H33" s="7"/>
      <c r="I33" s="7"/>
      <c r="J33" s="7"/>
      <c r="K33" s="62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ht="15.75" customHeight="1">
      <c r="A34" s="6">
        <v>16</v>
      </c>
      <c r="B34" s="7"/>
      <c r="C34" s="7"/>
      <c r="D34" s="7"/>
      <c r="E34" s="41"/>
      <c r="F34" s="7"/>
      <c r="G34" s="7"/>
      <c r="H34" s="7"/>
      <c r="I34" s="7"/>
      <c r="J34" s="7"/>
      <c r="K34" s="62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ht="15.75" customHeight="1">
      <c r="A35" s="6">
        <v>17</v>
      </c>
      <c r="B35" s="7"/>
      <c r="C35" s="7"/>
      <c r="D35" s="7"/>
      <c r="E35" s="41"/>
      <c r="F35" s="7"/>
      <c r="G35" s="7"/>
      <c r="H35" s="7"/>
      <c r="I35" s="7"/>
      <c r="J35" s="7"/>
      <c r="K35" s="62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ht="15.75" customHeight="1">
      <c r="A36" s="6">
        <v>18</v>
      </c>
      <c r="B36" s="7"/>
      <c r="C36" s="7"/>
      <c r="D36" s="7"/>
      <c r="E36" s="41"/>
      <c r="F36" s="7"/>
      <c r="G36" s="7"/>
      <c r="H36" s="7"/>
      <c r="I36" s="7"/>
      <c r="J36" s="7"/>
      <c r="K36" s="62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ht="15.75" customHeight="1">
      <c r="A37" s="6">
        <v>19</v>
      </c>
      <c r="B37" s="7"/>
      <c r="C37" s="7"/>
      <c r="D37" s="7"/>
      <c r="E37" s="56"/>
      <c r="F37" s="7"/>
      <c r="G37" s="7"/>
      <c r="H37" s="7"/>
      <c r="I37" s="7"/>
      <c r="J37" s="7"/>
      <c r="K37" s="62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ht="15.75" customHeight="1">
      <c r="A38" s="6">
        <v>20</v>
      </c>
      <c r="B38" s="7"/>
      <c r="C38" s="7"/>
      <c r="D38" s="7"/>
      <c r="E38" s="56"/>
      <c r="F38" s="7"/>
      <c r="G38" s="7"/>
      <c r="H38" s="7"/>
      <c r="I38" s="7"/>
      <c r="J38" s="7"/>
      <c r="K38" s="62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ht="15.75" customHeight="1">
      <c r="A39" s="6">
        <v>21</v>
      </c>
      <c r="B39" s="7"/>
      <c r="C39" s="7"/>
      <c r="D39" s="7"/>
      <c r="E39" s="56"/>
      <c r="F39" s="7"/>
      <c r="G39" s="7"/>
      <c r="H39" s="7"/>
      <c r="I39" s="7"/>
      <c r="J39" s="7"/>
      <c r="K39" s="62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ht="15.75" customHeight="1">
      <c r="A40" s="6">
        <v>22</v>
      </c>
      <c r="B40" s="7"/>
      <c r="C40" s="7"/>
      <c r="D40" s="7"/>
      <c r="E40" s="56"/>
      <c r="F40" s="7"/>
      <c r="G40" s="7"/>
      <c r="H40" s="7"/>
      <c r="I40" s="7"/>
      <c r="J40" s="7"/>
      <c r="K40" s="62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ht="15.75" customHeight="1">
      <c r="A41" s="6">
        <v>23</v>
      </c>
      <c r="B41" s="7"/>
      <c r="C41" s="7"/>
      <c r="D41" s="7"/>
      <c r="E41" s="41"/>
      <c r="F41" s="7"/>
      <c r="G41" s="7"/>
      <c r="H41" s="7"/>
      <c r="I41" s="7"/>
      <c r="J41" s="7"/>
      <c r="K41" s="62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ht="15.75" customHeight="1">
      <c r="A42" s="6">
        <v>24</v>
      </c>
      <c r="B42" s="7"/>
      <c r="C42" s="7"/>
      <c r="D42" s="7"/>
      <c r="E42" s="41"/>
      <c r="F42" s="7"/>
      <c r="G42" s="7"/>
      <c r="H42" s="7"/>
      <c r="I42" s="7"/>
      <c r="J42" s="7"/>
      <c r="K42" s="62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ht="15.75" customHeight="1">
      <c r="A43" s="6">
        <v>25</v>
      </c>
      <c r="B43" s="7"/>
      <c r="C43" s="7"/>
      <c r="D43" s="7"/>
      <c r="E43" s="41"/>
      <c r="F43" s="7"/>
      <c r="G43" s="7"/>
      <c r="H43" s="7"/>
      <c r="I43" s="7"/>
      <c r="J43" s="7"/>
      <c r="K43" s="62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ht="15.75" customHeight="1">
      <c r="A44" s="6">
        <v>26</v>
      </c>
      <c r="B44" s="7"/>
      <c r="C44" s="7"/>
      <c r="D44" s="7"/>
      <c r="E44" s="41"/>
      <c r="F44" s="7"/>
      <c r="G44" s="7"/>
      <c r="H44" s="7"/>
      <c r="I44" s="7"/>
      <c r="J44" s="7"/>
      <c r="K44" s="62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ht="15.75" customHeight="1">
      <c r="A45" s="6">
        <v>27</v>
      </c>
      <c r="B45" s="7"/>
      <c r="C45" s="7"/>
      <c r="D45" s="7"/>
      <c r="E45" s="41"/>
      <c r="F45" s="7"/>
      <c r="G45" s="7"/>
      <c r="H45" s="7"/>
      <c r="I45" s="7"/>
      <c r="J45" s="7"/>
      <c r="K45" s="62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ht="15.75" customHeight="1">
      <c r="A46" s="6">
        <v>28</v>
      </c>
      <c r="B46" s="7"/>
      <c r="C46" s="7"/>
      <c r="D46" s="7"/>
      <c r="E46" s="56"/>
      <c r="F46" s="7"/>
      <c r="G46" s="7"/>
      <c r="H46" s="7"/>
      <c r="I46" s="7"/>
      <c r="J46" s="7"/>
      <c r="K46" s="62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ht="15.75" customHeight="1">
      <c r="A47" s="6">
        <v>29</v>
      </c>
      <c r="B47" s="7"/>
      <c r="C47" s="7"/>
      <c r="D47" s="7"/>
      <c r="E47" s="56"/>
      <c r="F47" s="7"/>
      <c r="G47" s="7"/>
      <c r="H47" s="7"/>
      <c r="I47" s="7"/>
      <c r="J47" s="7"/>
      <c r="K47" s="62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ht="15.75" customHeight="1">
      <c r="A48" s="6">
        <v>30</v>
      </c>
      <c r="B48" s="7"/>
      <c r="C48" s="7"/>
      <c r="D48" s="7"/>
      <c r="E48" s="56"/>
      <c r="F48" s="7"/>
      <c r="G48" s="7"/>
      <c r="H48" s="7"/>
      <c r="I48" s="7"/>
      <c r="J48" s="7"/>
      <c r="K48" s="62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ht="15.75" customHeight="1">
      <c r="A49" s="6">
        <v>31</v>
      </c>
      <c r="B49" s="7"/>
      <c r="C49" s="7"/>
      <c r="D49" s="7"/>
      <c r="E49" s="56"/>
      <c r="F49" s="7"/>
      <c r="G49" s="7"/>
      <c r="H49" s="7"/>
      <c r="I49" s="7"/>
      <c r="J49" s="7"/>
      <c r="K49" s="62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ht="15.75" customHeight="1">
      <c r="A50" s="6">
        <v>32</v>
      </c>
      <c r="B50" s="7"/>
      <c r="C50" s="7"/>
      <c r="D50" s="7"/>
      <c r="E50" s="41"/>
      <c r="F50" s="7"/>
      <c r="G50" s="7"/>
      <c r="H50" s="7"/>
      <c r="I50" s="7"/>
      <c r="J50" s="7"/>
      <c r="K50" s="62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ht="15.75" customHeight="1">
      <c r="A51" s="6">
        <v>33</v>
      </c>
      <c r="B51" s="7"/>
      <c r="C51" s="7"/>
      <c r="D51" s="7"/>
      <c r="E51" s="41"/>
      <c r="F51" s="7"/>
      <c r="G51" s="7"/>
      <c r="H51" s="7"/>
      <c r="I51" s="7"/>
      <c r="J51" s="7"/>
      <c r="K51" s="62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ht="15.75" customHeight="1">
      <c r="A52" s="6">
        <v>34</v>
      </c>
      <c r="B52" s="7"/>
      <c r="C52" s="7"/>
      <c r="D52" s="7"/>
      <c r="E52" s="41"/>
      <c r="F52" s="7"/>
      <c r="G52" s="7"/>
      <c r="H52" s="7"/>
      <c r="I52" s="7"/>
      <c r="J52" s="7"/>
      <c r="K52" s="62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 ht="15.75" customHeight="1">
      <c r="A53" s="6">
        <v>35</v>
      </c>
      <c r="B53" s="7"/>
      <c r="C53" s="7"/>
      <c r="D53" s="7"/>
      <c r="E53" s="7"/>
      <c r="F53" s="7"/>
      <c r="G53" s="7"/>
      <c r="H53" s="7"/>
      <c r="I53" s="7"/>
      <c r="J53" s="7"/>
      <c r="K53" s="62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 ht="15.75" customHeight="1">
      <c r="A54" s="6">
        <v>36</v>
      </c>
      <c r="B54" s="7"/>
      <c r="C54" s="7"/>
      <c r="D54" s="7"/>
      <c r="E54" s="7"/>
      <c r="F54" s="7"/>
      <c r="G54" s="7"/>
      <c r="H54" s="7"/>
      <c r="I54" s="7"/>
      <c r="J54" s="7"/>
      <c r="K54" s="62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 ht="15.75" customHeight="1">
      <c r="A55" s="6">
        <v>37</v>
      </c>
      <c r="B55" s="7"/>
      <c r="C55" s="7"/>
      <c r="D55" s="7"/>
      <c r="E55" s="41"/>
      <c r="F55" s="7"/>
      <c r="G55" s="7"/>
      <c r="H55" s="7"/>
      <c r="I55" s="7"/>
      <c r="J55" s="7"/>
      <c r="K55" s="62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 ht="15.75" customHeight="1">
      <c r="A56" s="6">
        <v>38</v>
      </c>
      <c r="B56" s="7"/>
      <c r="C56" s="7"/>
      <c r="D56" s="7"/>
      <c r="E56" s="7"/>
      <c r="F56" s="7"/>
      <c r="G56" s="7"/>
      <c r="H56" s="7"/>
      <c r="I56" s="7"/>
      <c r="J56" s="7"/>
      <c r="K56" s="62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 ht="15.75" customHeight="1">
      <c r="A57" s="6">
        <v>39</v>
      </c>
      <c r="B57" s="7"/>
      <c r="C57" s="7"/>
      <c r="D57" s="7"/>
      <c r="E57" s="7"/>
      <c r="F57" s="7"/>
      <c r="G57" s="7"/>
      <c r="H57" s="7"/>
      <c r="I57" s="7"/>
      <c r="J57" s="7"/>
      <c r="K57" s="62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 ht="15.75" customHeight="1">
      <c r="A58" s="6">
        <v>40</v>
      </c>
      <c r="B58" s="7"/>
      <c r="C58" s="7"/>
      <c r="D58" s="7"/>
      <c r="E58" s="41"/>
      <c r="F58" s="7"/>
      <c r="G58" s="7"/>
      <c r="H58" s="7"/>
      <c r="I58" s="7"/>
      <c r="J58" s="7"/>
      <c r="K58" s="62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ht="15.75" customHeight="1">
      <c r="A59" s="6">
        <v>41</v>
      </c>
      <c r="B59" s="7"/>
      <c r="C59" s="7"/>
      <c r="D59" s="7"/>
      <c r="E59" s="41"/>
      <c r="F59" s="7"/>
      <c r="G59" s="7"/>
      <c r="H59" s="7"/>
      <c r="I59" s="7"/>
      <c r="J59" s="7"/>
      <c r="K59" s="62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ht="15.75" customHeight="1">
      <c r="A60" s="6">
        <v>42</v>
      </c>
      <c r="B60" s="7"/>
      <c r="C60" s="7"/>
      <c r="D60" s="7"/>
      <c r="E60" s="41"/>
      <c r="F60" s="7"/>
      <c r="G60" s="7"/>
      <c r="H60" s="7"/>
      <c r="I60" s="7"/>
      <c r="J60" s="7"/>
      <c r="K60" s="62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ht="15.75" customHeight="1">
      <c r="A61" s="6">
        <v>43</v>
      </c>
      <c r="B61" s="7"/>
      <c r="C61" s="7"/>
      <c r="D61" s="7"/>
      <c r="E61" s="41"/>
      <c r="F61" s="7"/>
      <c r="G61" s="7"/>
      <c r="H61" s="7"/>
      <c r="I61" s="7"/>
      <c r="J61" s="7"/>
      <c r="K61" s="62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 ht="15.75" customHeight="1">
      <c r="A62" s="6">
        <v>44</v>
      </c>
      <c r="B62" s="7"/>
      <c r="C62" s="7"/>
      <c r="D62" s="7"/>
      <c r="E62" s="41"/>
      <c r="F62" s="7"/>
      <c r="G62" s="7"/>
      <c r="H62" s="7"/>
      <c r="I62" s="7"/>
      <c r="J62" s="7"/>
      <c r="K62" s="62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 ht="15.75" customHeight="1">
      <c r="A63" s="6">
        <v>45</v>
      </c>
      <c r="B63" s="7"/>
      <c r="C63" s="7"/>
      <c r="D63" s="7"/>
      <c r="E63" s="41"/>
      <c r="F63" s="7"/>
      <c r="G63" s="7"/>
      <c r="H63" s="7"/>
      <c r="I63" s="7"/>
      <c r="J63" s="7"/>
      <c r="K63" s="62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 ht="15.75" customHeight="1">
      <c r="A64" s="6">
        <v>46</v>
      </c>
      <c r="B64" s="7"/>
      <c r="C64" s="7"/>
      <c r="D64" s="7"/>
      <c r="E64" s="7"/>
      <c r="F64" s="7"/>
      <c r="G64" s="7"/>
      <c r="H64" s="7"/>
      <c r="I64" s="7"/>
      <c r="J64" s="7"/>
      <c r="K64" s="62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 ht="15.75" customHeight="1">
      <c r="A65" s="6">
        <v>47</v>
      </c>
      <c r="B65" s="7"/>
      <c r="C65" s="7"/>
      <c r="D65" s="7"/>
      <c r="E65" s="41"/>
      <c r="F65" s="7"/>
      <c r="G65" s="7"/>
      <c r="H65" s="7"/>
      <c r="I65" s="7"/>
      <c r="J65" s="7"/>
      <c r="K65" s="62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 ht="15.75" customHeight="1">
      <c r="A66" s="6">
        <v>48</v>
      </c>
      <c r="B66" s="7"/>
      <c r="C66" s="7"/>
      <c r="D66" s="7"/>
      <c r="E66" s="41"/>
      <c r="F66" s="7"/>
      <c r="G66" s="7"/>
      <c r="H66" s="7"/>
      <c r="I66" s="7"/>
      <c r="J66" s="7"/>
      <c r="K66" s="62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 ht="15.75" customHeight="1">
      <c r="A67" s="6">
        <v>49</v>
      </c>
      <c r="B67" s="7"/>
      <c r="C67" s="7"/>
      <c r="D67" s="7"/>
      <c r="E67" s="41"/>
      <c r="F67" s="7"/>
      <c r="G67" s="7"/>
      <c r="H67" s="7"/>
      <c r="I67" s="7"/>
      <c r="J67" s="7"/>
      <c r="K67" s="62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ht="15.75" customHeight="1">
      <c r="A68" s="6">
        <v>50</v>
      </c>
      <c r="B68" s="7"/>
      <c r="C68" s="7"/>
      <c r="D68" s="7"/>
      <c r="E68" s="41"/>
      <c r="F68" s="7"/>
      <c r="G68" s="7"/>
      <c r="H68" s="7"/>
      <c r="I68" s="7"/>
      <c r="J68" s="7"/>
      <c r="K68" s="62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ht="15.75" customHeight="1">
      <c r="A69" s="6">
        <v>51</v>
      </c>
      <c r="B69" s="7"/>
      <c r="C69" s="7"/>
      <c r="D69" s="7"/>
      <c r="E69" s="41"/>
      <c r="F69" s="7"/>
      <c r="G69" s="7"/>
      <c r="H69" s="7"/>
      <c r="I69" s="7"/>
      <c r="J69" s="65"/>
      <c r="K69" s="62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ht="15.75" customHeight="1">
      <c r="A70" s="6">
        <v>52</v>
      </c>
      <c r="B70" s="7"/>
      <c r="C70" s="7"/>
      <c r="D70" s="7"/>
      <c r="E70" s="41"/>
      <c r="F70" s="7"/>
      <c r="G70" s="7"/>
      <c r="H70" s="7"/>
      <c r="I70" s="7"/>
      <c r="J70" s="65"/>
      <c r="K70" s="62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 ht="15.75" customHeight="1">
      <c r="A71" s="6">
        <v>53</v>
      </c>
      <c r="B71" s="7"/>
      <c r="C71" s="7"/>
      <c r="D71" s="7"/>
      <c r="E71" s="7"/>
      <c r="F71" s="7"/>
      <c r="G71" s="7"/>
      <c r="H71" s="7"/>
      <c r="I71" s="7"/>
      <c r="J71" s="65"/>
      <c r="K71" s="62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 ht="15.75" customHeight="1">
      <c r="A72" s="6">
        <v>54</v>
      </c>
      <c r="B72" s="7"/>
      <c r="C72" s="7"/>
      <c r="D72" s="7"/>
      <c r="E72" s="41"/>
      <c r="F72" s="7"/>
      <c r="G72" s="7"/>
      <c r="H72" s="7"/>
      <c r="I72" s="7"/>
      <c r="J72" s="65"/>
      <c r="K72" s="62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 ht="15.75" customHeight="1">
      <c r="A73" s="6">
        <v>55</v>
      </c>
      <c r="B73" s="7"/>
      <c r="C73" s="7"/>
      <c r="D73" s="7"/>
      <c r="E73" s="41"/>
      <c r="F73" s="7"/>
      <c r="G73" s="7"/>
      <c r="H73" s="7"/>
      <c r="I73" s="7"/>
      <c r="J73" s="65"/>
      <c r="K73" s="62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 ht="15.75" customHeight="1">
      <c r="A74" s="6">
        <v>56</v>
      </c>
      <c r="B74" s="7"/>
      <c r="C74" s="7"/>
      <c r="D74" s="7"/>
      <c r="E74" s="41"/>
      <c r="F74" s="7"/>
      <c r="G74" s="7"/>
      <c r="H74" s="7"/>
      <c r="I74" s="7"/>
      <c r="J74" s="65"/>
      <c r="K74" s="62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 ht="15.75" customHeight="1">
      <c r="A75" s="6">
        <v>57</v>
      </c>
      <c r="B75" s="7"/>
      <c r="C75" s="7"/>
      <c r="D75" s="7"/>
      <c r="E75" s="41"/>
      <c r="F75" s="7"/>
      <c r="G75" s="7"/>
      <c r="H75" s="7"/>
      <c r="I75" s="7"/>
      <c r="J75" s="65"/>
      <c r="K75" s="62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 ht="15.75" customHeight="1">
      <c r="A76" s="6">
        <v>58</v>
      </c>
      <c r="B76" s="7"/>
      <c r="C76" s="7"/>
      <c r="D76" s="7"/>
      <c r="E76" s="7"/>
      <c r="F76" s="7"/>
      <c r="G76" s="7"/>
      <c r="H76" s="7"/>
      <c r="I76" s="7"/>
      <c r="J76" s="65"/>
      <c r="K76" s="62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ht="15.75" customHeight="1">
      <c r="A77" s="6">
        <v>59</v>
      </c>
      <c r="B77" s="7"/>
      <c r="C77" s="7"/>
      <c r="D77" s="7"/>
      <c r="E77" s="7"/>
      <c r="F77" s="7"/>
      <c r="G77" s="7"/>
      <c r="H77" s="7"/>
      <c r="I77" s="7"/>
      <c r="J77" s="65"/>
      <c r="K77" s="62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ht="15.75" customHeight="1">
      <c r="A78" s="6">
        <v>60</v>
      </c>
      <c r="B78" s="7"/>
      <c r="C78" s="7"/>
      <c r="D78" s="7"/>
      <c r="E78" s="41"/>
      <c r="F78" s="7"/>
      <c r="G78" s="7"/>
      <c r="H78" s="7"/>
      <c r="I78" s="7"/>
      <c r="J78" s="65"/>
      <c r="K78" s="62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ht="15.75" customHeight="1">
      <c r="A79" s="6">
        <v>61</v>
      </c>
      <c r="B79" s="7"/>
      <c r="C79" s="7"/>
      <c r="D79" s="7"/>
      <c r="E79" s="41"/>
      <c r="F79" s="7"/>
      <c r="G79" s="7"/>
      <c r="H79" s="7"/>
      <c r="I79" s="7"/>
      <c r="J79" s="7"/>
      <c r="K79" s="62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 ht="15.75" customHeight="1">
      <c r="A80" s="6">
        <v>62</v>
      </c>
      <c r="B80" s="7"/>
      <c r="C80" s="7"/>
      <c r="D80" s="7"/>
      <c r="E80" s="41"/>
      <c r="F80" s="7"/>
      <c r="G80" s="7"/>
      <c r="H80" s="7"/>
      <c r="I80" s="7"/>
      <c r="J80" s="66"/>
      <c r="K80" s="62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 ht="15.75" customHeight="1">
      <c r="A81" s="6">
        <v>63</v>
      </c>
      <c r="B81" s="7"/>
      <c r="C81" s="7"/>
      <c r="D81" s="7"/>
      <c r="E81" s="41"/>
      <c r="F81" s="7"/>
      <c r="G81" s="7"/>
      <c r="H81" s="7"/>
      <c r="I81" s="7"/>
      <c r="J81" s="66"/>
      <c r="K81" s="62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 ht="15.75" customHeight="1">
      <c r="A82" s="6">
        <v>64</v>
      </c>
      <c r="B82" s="7"/>
      <c r="C82" s="7"/>
      <c r="D82" s="7"/>
      <c r="E82" s="41"/>
      <c r="F82" s="7"/>
      <c r="G82" s="7"/>
      <c r="H82" s="7"/>
      <c r="I82" s="7"/>
      <c r="J82" s="7"/>
      <c r="K82" s="62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 ht="15.75" customHeight="1">
      <c r="A83" s="6">
        <v>65</v>
      </c>
      <c r="B83" s="7"/>
      <c r="C83" s="7"/>
      <c r="D83" s="7"/>
      <c r="E83" s="41"/>
      <c r="F83" s="7"/>
      <c r="G83" s="7"/>
      <c r="H83" s="7"/>
      <c r="I83" s="7"/>
      <c r="J83" s="66"/>
      <c r="K83" s="62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 ht="15.75" customHeight="1">
      <c r="A84" s="6">
        <v>66</v>
      </c>
      <c r="B84" s="7"/>
      <c r="C84" s="7"/>
      <c r="D84" s="7"/>
      <c r="E84" s="41"/>
      <c r="F84" s="7"/>
      <c r="G84" s="7"/>
      <c r="H84" s="7"/>
      <c r="I84" s="7"/>
      <c r="J84" s="66"/>
      <c r="K84" s="62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 ht="15.75" customHeight="1">
      <c r="A85" s="6">
        <v>67</v>
      </c>
      <c r="B85" s="7"/>
      <c r="C85" s="7"/>
      <c r="D85" s="7"/>
      <c r="E85" s="41"/>
      <c r="F85" s="7"/>
      <c r="G85" s="7"/>
      <c r="H85" s="7"/>
      <c r="I85" s="7"/>
      <c r="J85" s="7"/>
      <c r="K85" s="62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ht="15.75" customHeight="1">
      <c r="A86" s="6">
        <v>68</v>
      </c>
      <c r="B86" s="7"/>
      <c r="C86" s="7"/>
      <c r="D86" s="7"/>
      <c r="E86" s="41"/>
      <c r="F86" s="7"/>
      <c r="G86" s="7"/>
      <c r="H86" s="7"/>
      <c r="I86" s="7"/>
      <c r="J86" s="7"/>
      <c r="K86" s="62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ht="15.75" customHeight="1">
      <c r="A87" s="6">
        <v>69</v>
      </c>
      <c r="B87" s="7"/>
      <c r="C87" s="7"/>
      <c r="D87" s="7"/>
      <c r="E87" s="41"/>
      <c r="F87" s="7"/>
      <c r="G87" s="7"/>
      <c r="H87" s="7"/>
      <c r="I87" s="7"/>
      <c r="J87" s="66"/>
      <c r="K87" s="62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ht="15.75" customHeight="1">
      <c r="A88" s="6">
        <v>70</v>
      </c>
      <c r="B88" s="7"/>
      <c r="C88" s="7"/>
      <c r="D88" s="7"/>
      <c r="E88" s="41"/>
      <c r="F88" s="7"/>
      <c r="G88" s="7"/>
      <c r="H88" s="7"/>
      <c r="I88" s="7"/>
      <c r="J88" s="7"/>
      <c r="K88" s="62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 ht="15.75" customHeight="1">
      <c r="A89" s="6">
        <v>71</v>
      </c>
      <c r="B89" s="7"/>
      <c r="C89" s="7"/>
      <c r="D89" s="7"/>
      <c r="E89" s="41"/>
      <c r="F89" s="7"/>
      <c r="G89" s="7"/>
      <c r="H89" s="7"/>
      <c r="I89" s="7"/>
      <c r="J89" s="66"/>
      <c r="K89" s="62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 ht="15.75" customHeight="1">
      <c r="A90" s="6">
        <v>72</v>
      </c>
      <c r="B90" s="7"/>
      <c r="C90" s="7"/>
      <c r="D90" s="7"/>
      <c r="E90" s="41"/>
      <c r="F90" s="7"/>
      <c r="G90" s="7"/>
      <c r="H90" s="7"/>
      <c r="I90" s="7"/>
      <c r="J90" s="66"/>
      <c r="K90" s="62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 ht="15.75" customHeight="1">
      <c r="A91" s="6">
        <v>73</v>
      </c>
      <c r="B91" s="7"/>
      <c r="C91" s="7"/>
      <c r="D91" s="7"/>
      <c r="E91" s="41"/>
      <c r="F91" s="7"/>
      <c r="G91" s="7"/>
      <c r="H91" s="7"/>
      <c r="I91" s="7"/>
      <c r="J91" s="67"/>
      <c r="K91" s="62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 ht="15.75" customHeight="1">
      <c r="A92" s="6">
        <v>74</v>
      </c>
      <c r="B92" s="7"/>
      <c r="C92" s="7"/>
      <c r="D92" s="7"/>
      <c r="E92" s="41"/>
      <c r="F92" s="7"/>
      <c r="G92" s="7"/>
      <c r="H92" s="7"/>
      <c r="I92" s="7"/>
      <c r="J92" s="66"/>
      <c r="K92" s="62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 ht="15.75" customHeight="1">
      <c r="A93" s="6">
        <v>75</v>
      </c>
      <c r="B93" s="7"/>
      <c r="C93" s="7"/>
      <c r="D93" s="7"/>
      <c r="E93" s="41"/>
      <c r="F93" s="7"/>
      <c r="G93" s="7"/>
      <c r="H93" s="7"/>
      <c r="I93" s="7"/>
      <c r="J93" s="66"/>
      <c r="K93" s="62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 ht="15.75" customHeight="1">
      <c r="A94" s="6">
        <v>76</v>
      </c>
      <c r="B94" s="7"/>
      <c r="C94" s="7"/>
      <c r="D94" s="7"/>
      <c r="E94" s="56"/>
      <c r="F94" s="7"/>
      <c r="G94" s="7"/>
      <c r="H94" s="7"/>
      <c r="I94" s="7"/>
      <c r="J94" s="67"/>
      <c r="K94" s="62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ht="15.75" customHeight="1">
      <c r="A95" s="6">
        <v>77</v>
      </c>
      <c r="B95" s="7"/>
      <c r="C95" s="7"/>
      <c r="D95" s="7"/>
      <c r="E95" s="56"/>
      <c r="F95" s="7"/>
      <c r="G95" s="7"/>
      <c r="H95" s="7"/>
      <c r="I95" s="7"/>
      <c r="J95" s="66"/>
      <c r="K95" s="62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ht="15.75" customHeight="1">
      <c r="A96" s="6">
        <v>78</v>
      </c>
      <c r="B96" s="7"/>
      <c r="C96" s="7"/>
      <c r="D96" s="7"/>
      <c r="E96" s="41"/>
      <c r="F96" s="50"/>
      <c r="G96" s="50"/>
      <c r="H96" s="7"/>
      <c r="I96" s="7"/>
      <c r="J96" s="7"/>
      <c r="K96" s="62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ht="15.75" customHeight="1">
      <c r="A97" s="6">
        <v>79</v>
      </c>
      <c r="B97" s="7"/>
      <c r="C97" s="7"/>
      <c r="D97" s="7"/>
      <c r="E97" s="41"/>
      <c r="F97" s="50"/>
      <c r="G97" s="50"/>
      <c r="H97" s="50"/>
      <c r="I97" s="7"/>
      <c r="J97" s="7"/>
      <c r="K97" s="62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 ht="15.75" customHeight="1">
      <c r="A98" s="6">
        <v>80</v>
      </c>
      <c r="B98" s="7"/>
      <c r="C98" s="7"/>
      <c r="D98" s="7"/>
      <c r="E98" s="41"/>
      <c r="F98" s="50"/>
      <c r="G98" s="50"/>
      <c r="H98" s="50"/>
      <c r="I98" s="7"/>
      <c r="J98" s="7"/>
      <c r="K98" s="62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 ht="15.75" customHeight="1">
      <c r="A99" s="6">
        <v>81</v>
      </c>
      <c r="B99" s="7"/>
      <c r="C99" s="7"/>
      <c r="D99" s="7"/>
      <c r="E99" s="41"/>
      <c r="F99" s="50"/>
      <c r="G99" s="50"/>
      <c r="H99" s="50"/>
      <c r="I99" s="7"/>
      <c r="J99" s="7"/>
      <c r="K99" s="62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 ht="15.75" customHeight="1">
      <c r="A100" s="6">
        <v>82</v>
      </c>
      <c r="B100" s="7"/>
      <c r="C100" s="7"/>
      <c r="D100" s="7"/>
      <c r="E100" s="41"/>
      <c r="F100" s="50"/>
      <c r="G100" s="50"/>
      <c r="H100" s="50"/>
      <c r="I100" s="7"/>
      <c r="J100" s="7"/>
      <c r="K100" s="62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 ht="15.75" customHeight="1">
      <c r="A101" s="6">
        <v>83</v>
      </c>
      <c r="B101" s="7"/>
      <c r="C101" s="7"/>
      <c r="D101" s="7"/>
      <c r="E101" s="41"/>
      <c r="F101" s="50"/>
      <c r="G101" s="50"/>
      <c r="H101" s="50"/>
      <c r="I101" s="7"/>
      <c r="J101" s="7"/>
      <c r="K101" s="62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 ht="15.75" customHeight="1">
      <c r="A102" s="6">
        <v>84</v>
      </c>
      <c r="B102" s="7"/>
      <c r="C102" s="7"/>
      <c r="D102" s="7"/>
      <c r="E102" s="41"/>
      <c r="F102" s="50"/>
      <c r="G102" s="50"/>
      <c r="H102" s="50"/>
      <c r="I102" s="7"/>
      <c r="J102" s="7"/>
      <c r="K102" s="62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 ht="15.75" customHeight="1">
      <c r="A103" s="6">
        <v>85</v>
      </c>
      <c r="B103" s="7"/>
      <c r="C103" s="7"/>
      <c r="D103" s="7"/>
      <c r="E103" s="41"/>
      <c r="F103" s="50"/>
      <c r="G103" s="50"/>
      <c r="H103" s="50"/>
      <c r="I103" s="7"/>
      <c r="J103" s="7"/>
      <c r="K103" s="62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ht="15.75" customHeight="1">
      <c r="A104" s="6">
        <v>86</v>
      </c>
      <c r="B104" s="7"/>
      <c r="C104" s="50"/>
      <c r="D104" s="7"/>
      <c r="E104" s="41"/>
      <c r="F104" s="50"/>
      <c r="G104" s="50"/>
      <c r="H104" s="50"/>
      <c r="I104" s="7"/>
      <c r="J104" s="7"/>
      <c r="K104" s="62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ht="15.75" customHeight="1">
      <c r="A105" s="6">
        <v>87</v>
      </c>
      <c r="B105" s="7"/>
      <c r="C105" s="50"/>
      <c r="D105" s="7"/>
      <c r="E105" s="41"/>
      <c r="F105" s="50"/>
      <c r="G105" s="50"/>
      <c r="H105" s="50"/>
      <c r="I105" s="7"/>
      <c r="J105" s="7"/>
      <c r="K105" s="62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ht="15.75" customHeight="1">
      <c r="A106" s="6">
        <v>88</v>
      </c>
      <c r="B106" s="7"/>
      <c r="C106" s="7"/>
      <c r="D106" s="7"/>
      <c r="E106" s="41"/>
      <c r="F106" s="50"/>
      <c r="G106" s="50"/>
      <c r="H106" s="50"/>
      <c r="I106" s="7"/>
      <c r="J106" s="7"/>
      <c r="K106" s="62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 ht="15.75" customHeight="1">
      <c r="A107" s="6">
        <v>89</v>
      </c>
      <c r="B107" s="7"/>
      <c r="C107" s="50"/>
      <c r="D107" s="7"/>
      <c r="E107" s="41"/>
      <c r="F107" s="50"/>
      <c r="G107" s="50"/>
      <c r="H107" s="50"/>
      <c r="I107" s="7"/>
      <c r="J107" s="7"/>
      <c r="K107" s="62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 ht="15.75" customHeight="1">
      <c r="A108" s="6">
        <v>90</v>
      </c>
      <c r="B108" s="7"/>
      <c r="C108" s="50"/>
      <c r="D108" s="7"/>
      <c r="E108" s="41"/>
      <c r="F108" s="50"/>
      <c r="G108" s="50"/>
      <c r="H108" s="50"/>
      <c r="I108" s="7"/>
      <c r="J108" s="7"/>
      <c r="K108" s="62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 ht="15.75" customHeight="1">
      <c r="A109" s="6">
        <v>91</v>
      </c>
      <c r="B109" s="7"/>
      <c r="C109" s="50"/>
      <c r="D109" s="7"/>
      <c r="E109" s="41"/>
      <c r="F109" s="50"/>
      <c r="G109" s="50"/>
      <c r="H109" s="50"/>
      <c r="I109" s="7"/>
      <c r="J109" s="7"/>
      <c r="K109" s="62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 ht="15.75" customHeight="1">
      <c r="A110" s="6">
        <v>92</v>
      </c>
      <c r="B110" s="7"/>
      <c r="C110" s="7"/>
      <c r="D110" s="7"/>
      <c r="E110" s="41"/>
      <c r="F110" s="50"/>
      <c r="G110" s="50"/>
      <c r="H110" s="50"/>
      <c r="I110" s="7"/>
      <c r="J110" s="7"/>
      <c r="K110" s="62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 ht="15.75" customHeight="1">
      <c r="A111" s="6">
        <v>93</v>
      </c>
      <c r="B111" s="7"/>
      <c r="C111" s="50"/>
      <c r="D111" s="7"/>
      <c r="E111" s="41"/>
      <c r="F111" s="50"/>
      <c r="G111" s="50"/>
      <c r="H111" s="50"/>
      <c r="I111" s="7"/>
      <c r="J111" s="7"/>
      <c r="K111" s="62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 ht="15.75" customHeight="1">
      <c r="A112" s="6">
        <v>94</v>
      </c>
      <c r="B112" s="7"/>
      <c r="C112" s="7"/>
      <c r="D112" s="7"/>
      <c r="E112" s="41"/>
      <c r="F112" s="50"/>
      <c r="G112" s="50"/>
      <c r="H112" s="50"/>
      <c r="I112" s="7"/>
      <c r="J112" s="7"/>
      <c r="K112" s="62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ht="15.75" customHeight="1">
      <c r="A113" s="6">
        <v>95</v>
      </c>
      <c r="B113" s="50"/>
      <c r="C113" s="50"/>
      <c r="D113" s="50"/>
      <c r="E113" s="41"/>
      <c r="F113" s="50"/>
      <c r="G113" s="50"/>
      <c r="H113" s="50"/>
      <c r="I113" s="50"/>
      <c r="J113" s="7"/>
      <c r="K113" s="62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ht="15.75" customHeight="1">
      <c r="A114" s="6">
        <v>96</v>
      </c>
      <c r="B114" s="50"/>
      <c r="C114" s="50"/>
      <c r="D114" s="50"/>
      <c r="E114" s="50"/>
      <c r="F114" s="50"/>
      <c r="G114" s="50"/>
      <c r="H114" s="50"/>
      <c r="I114" s="50"/>
      <c r="J114" s="7"/>
      <c r="K114" s="62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ht="15.75" customHeight="1">
      <c r="A115" s="6">
        <v>97</v>
      </c>
      <c r="B115" s="50"/>
      <c r="C115" s="50"/>
      <c r="D115" s="50"/>
      <c r="E115" s="41"/>
      <c r="F115" s="50"/>
      <c r="G115" s="50"/>
      <c r="H115" s="50"/>
      <c r="I115" s="7"/>
      <c r="J115" s="7"/>
      <c r="K115" s="62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 ht="15.75" customHeight="1">
      <c r="A116" s="6">
        <v>98</v>
      </c>
      <c r="B116" s="7"/>
      <c r="C116" s="50"/>
      <c r="D116" s="50"/>
      <c r="E116" s="41"/>
      <c r="F116" s="50"/>
      <c r="G116" s="50"/>
      <c r="H116" s="50"/>
      <c r="I116" s="7"/>
      <c r="J116" s="7"/>
      <c r="K116" s="62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 ht="15.75" customHeight="1">
      <c r="A117" s="6">
        <v>99</v>
      </c>
      <c r="B117" s="7"/>
      <c r="C117" s="7"/>
      <c r="D117" s="7"/>
      <c r="E117" s="41"/>
      <c r="F117" s="7"/>
      <c r="G117" s="7"/>
      <c r="H117" s="7"/>
      <c r="I117" s="7"/>
      <c r="J117" s="7"/>
      <c r="K117" s="62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 ht="15.75" customHeight="1">
      <c r="A118" s="6">
        <v>100</v>
      </c>
      <c r="B118" s="7"/>
      <c r="C118" s="7"/>
      <c r="D118" s="7"/>
      <c r="E118" s="7"/>
      <c r="F118" s="7"/>
      <c r="G118" s="7"/>
      <c r="H118" s="7"/>
      <c r="I118" s="7"/>
      <c r="J118" s="7"/>
      <c r="K118" s="62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 ht="15.75" customHeight="1">
      <c r="A119" s="6">
        <v>101</v>
      </c>
      <c r="B119" s="7"/>
      <c r="C119" s="7"/>
      <c r="D119" s="7"/>
      <c r="E119" s="41"/>
      <c r="F119" s="7"/>
      <c r="G119" s="7"/>
      <c r="H119" s="7"/>
      <c r="I119" s="7"/>
      <c r="J119" s="7"/>
      <c r="K119" s="62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 ht="15.75" customHeight="1">
      <c r="A120" s="6">
        <v>102</v>
      </c>
      <c r="B120" s="7"/>
      <c r="C120" s="7"/>
      <c r="D120" s="7"/>
      <c r="E120" s="41"/>
      <c r="F120" s="7"/>
      <c r="G120" s="7"/>
      <c r="H120" s="7"/>
      <c r="I120" s="7"/>
      <c r="J120" s="7"/>
      <c r="K120" s="62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 ht="15.75" customHeight="1">
      <c r="A121" s="6">
        <v>103</v>
      </c>
      <c r="B121" s="7"/>
      <c r="C121" s="7"/>
      <c r="D121" s="7"/>
      <c r="E121" s="41"/>
      <c r="F121" s="7"/>
      <c r="G121" s="7"/>
      <c r="H121" s="7"/>
      <c r="I121" s="7"/>
      <c r="J121" s="7"/>
      <c r="K121" s="62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ht="15.75" customHeight="1">
      <c r="A122" s="6">
        <v>104</v>
      </c>
      <c r="B122" s="7"/>
      <c r="C122" s="7"/>
      <c r="D122" s="7"/>
      <c r="E122" s="41"/>
      <c r="F122" s="7"/>
      <c r="G122" s="7"/>
      <c r="H122" s="7"/>
      <c r="I122" s="7"/>
      <c r="J122" s="7"/>
      <c r="K122" s="62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ht="15.75" customHeight="1">
      <c r="A123" s="6">
        <v>105</v>
      </c>
      <c r="B123" s="7"/>
      <c r="C123" s="7"/>
      <c r="D123" s="7"/>
      <c r="E123" s="41"/>
      <c r="F123" s="7"/>
      <c r="G123" s="7"/>
      <c r="H123" s="7"/>
      <c r="I123" s="7"/>
      <c r="J123" s="7"/>
      <c r="K123" s="62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ht="15.75" customHeight="1">
      <c r="A124" s="6">
        <v>106</v>
      </c>
      <c r="B124" s="7"/>
      <c r="C124" s="7"/>
      <c r="D124" s="7"/>
      <c r="E124" s="41"/>
      <c r="F124" s="7"/>
      <c r="G124" s="7"/>
      <c r="H124" s="7"/>
      <c r="I124" s="7"/>
      <c r="J124" s="7"/>
      <c r="K124" s="62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 ht="15.75" customHeight="1">
      <c r="A125" s="6">
        <v>107</v>
      </c>
      <c r="B125" s="7"/>
      <c r="C125" s="7"/>
      <c r="D125" s="7"/>
      <c r="E125" s="41"/>
      <c r="F125" s="7"/>
      <c r="G125" s="7"/>
      <c r="H125" s="7"/>
      <c r="I125" s="7"/>
      <c r="J125" s="7"/>
      <c r="K125" s="62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 ht="15.75" customHeight="1">
      <c r="A126" s="6">
        <v>108</v>
      </c>
      <c r="B126" s="7"/>
      <c r="C126" s="7"/>
      <c r="D126" s="7"/>
      <c r="E126" s="41"/>
      <c r="F126" s="7"/>
      <c r="G126" s="7"/>
      <c r="H126" s="7"/>
      <c r="I126" s="7"/>
      <c r="J126" s="7"/>
      <c r="K126" s="62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 ht="15.75" customHeight="1">
      <c r="A127" s="6">
        <v>109</v>
      </c>
      <c r="B127" s="7"/>
      <c r="C127" s="7"/>
      <c r="D127" s="7"/>
      <c r="E127" s="41"/>
      <c r="F127" s="7"/>
      <c r="G127" s="7"/>
      <c r="H127" s="7"/>
      <c r="I127" s="7"/>
      <c r="J127" s="7"/>
      <c r="K127" s="62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 ht="15.75" customHeight="1">
      <c r="A128" s="6">
        <v>110</v>
      </c>
      <c r="B128" s="7"/>
      <c r="C128" s="7"/>
      <c r="D128" s="7"/>
      <c r="E128" s="41"/>
      <c r="F128" s="7"/>
      <c r="G128" s="7"/>
      <c r="H128" s="7"/>
      <c r="I128" s="7"/>
      <c r="J128" s="7"/>
      <c r="K128" s="62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 ht="15.75" customHeight="1">
      <c r="A129" s="6">
        <v>111</v>
      </c>
      <c r="B129" s="7"/>
      <c r="C129" s="7"/>
      <c r="D129" s="7"/>
      <c r="E129" s="41"/>
      <c r="F129" s="7"/>
      <c r="G129" s="7"/>
      <c r="H129" s="7"/>
      <c r="I129" s="7"/>
      <c r="J129" s="7"/>
      <c r="K129" s="62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 ht="15.75" customHeight="1">
      <c r="A130" s="6">
        <v>112</v>
      </c>
      <c r="B130" s="7"/>
      <c r="C130" s="7"/>
      <c r="D130" s="7"/>
      <c r="E130" s="41"/>
      <c r="F130" s="7"/>
      <c r="G130" s="7"/>
      <c r="H130" s="7"/>
      <c r="I130" s="7"/>
      <c r="J130" s="7"/>
      <c r="K130" s="62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 ht="15.75" customHeight="1">
      <c r="A131" s="6">
        <v>113</v>
      </c>
      <c r="B131" s="7"/>
      <c r="C131" s="7"/>
      <c r="D131" s="7"/>
      <c r="E131" s="41"/>
      <c r="F131" s="7"/>
      <c r="G131" s="7"/>
      <c r="H131" s="7"/>
      <c r="I131" s="7"/>
      <c r="J131" s="7"/>
      <c r="K131" s="62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 ht="15.75" customHeight="1">
      <c r="A132" s="6">
        <v>114</v>
      </c>
      <c r="B132" s="7"/>
      <c r="C132" s="7"/>
      <c r="D132" s="7"/>
      <c r="E132" s="41"/>
      <c r="F132" s="7"/>
      <c r="G132" s="7"/>
      <c r="H132" s="7"/>
      <c r="I132" s="7"/>
      <c r="J132" s="7"/>
      <c r="K132" s="62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 ht="15.75" customHeight="1">
      <c r="A133" s="6">
        <v>115</v>
      </c>
      <c r="B133" s="7"/>
      <c r="C133" s="7"/>
      <c r="D133" s="7"/>
      <c r="E133" s="41"/>
      <c r="F133" s="7"/>
      <c r="G133" s="7"/>
      <c r="H133" s="7"/>
      <c r="I133" s="7"/>
      <c r="J133" s="7"/>
      <c r="K133" s="62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 ht="15.75" customHeight="1">
      <c r="A134" s="6">
        <v>116</v>
      </c>
      <c r="B134" s="7"/>
      <c r="C134" s="7"/>
      <c r="D134" s="7"/>
      <c r="E134" s="41"/>
      <c r="F134" s="7"/>
      <c r="G134" s="7"/>
      <c r="H134" s="7"/>
      <c r="I134" s="7"/>
      <c r="J134" s="7"/>
      <c r="K134" s="62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 ht="15.75" customHeight="1">
      <c r="A135" s="6">
        <v>117</v>
      </c>
      <c r="B135" s="7"/>
      <c r="C135" s="7"/>
      <c r="D135" s="7"/>
      <c r="E135" s="41"/>
      <c r="F135" s="7"/>
      <c r="G135" s="7"/>
      <c r="H135" s="7"/>
      <c r="I135" s="7"/>
      <c r="J135" s="7"/>
      <c r="K135" s="62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 ht="15.75" customHeight="1">
      <c r="A136" s="6">
        <v>118</v>
      </c>
      <c r="B136" s="7"/>
      <c r="C136" s="7"/>
      <c r="D136" s="7"/>
      <c r="E136" s="41"/>
      <c r="F136" s="7"/>
      <c r="G136" s="7"/>
      <c r="H136" s="7"/>
      <c r="I136" s="7"/>
      <c r="J136" s="7"/>
      <c r="K136" s="62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 ht="15.75" customHeight="1">
      <c r="A137" s="6">
        <v>119</v>
      </c>
      <c r="B137" s="7"/>
      <c r="C137" s="7"/>
      <c r="D137" s="7"/>
      <c r="E137" s="41"/>
      <c r="F137" s="7"/>
      <c r="G137" s="7"/>
      <c r="H137" s="7"/>
      <c r="I137" s="7"/>
      <c r="J137" s="7"/>
      <c r="K137" s="62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 ht="15.75" customHeight="1">
      <c r="A138" s="6">
        <v>120</v>
      </c>
      <c r="B138" s="7"/>
      <c r="C138" s="7"/>
      <c r="D138" s="7"/>
      <c r="E138" s="41"/>
      <c r="F138" s="7"/>
      <c r="G138" s="7"/>
      <c r="H138" s="7"/>
      <c r="I138" s="7"/>
      <c r="J138" s="7"/>
      <c r="K138" s="62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 ht="15.75" customHeight="1">
      <c r="A139" s="6">
        <v>121</v>
      </c>
      <c r="B139" s="7"/>
      <c r="C139" s="7"/>
      <c r="D139" s="7"/>
      <c r="E139" s="7"/>
      <c r="F139" s="7"/>
      <c r="G139" s="7"/>
      <c r="H139" s="7"/>
      <c r="I139" s="7"/>
      <c r="J139" s="7"/>
      <c r="K139" s="62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 ht="15.75" customHeight="1">
      <c r="A140" s="6">
        <v>122</v>
      </c>
      <c r="B140" s="7"/>
      <c r="C140" s="7"/>
      <c r="D140" s="7"/>
      <c r="E140" s="41"/>
      <c r="F140" s="7"/>
      <c r="G140" s="7"/>
      <c r="H140" s="7"/>
      <c r="I140" s="7"/>
      <c r="J140" s="7"/>
      <c r="K140" s="62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 ht="15.75" customHeight="1">
      <c r="A141" s="6">
        <v>123</v>
      </c>
      <c r="B141" s="7"/>
      <c r="C141" s="7"/>
      <c r="D141" s="7"/>
      <c r="E141" s="41"/>
      <c r="F141" s="7"/>
      <c r="G141" s="7"/>
      <c r="H141" s="7"/>
      <c r="I141" s="7"/>
      <c r="J141" s="7"/>
      <c r="K141" s="62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 ht="15.75" customHeight="1">
      <c r="A142" s="6">
        <v>124</v>
      </c>
      <c r="B142" s="7"/>
      <c r="C142" s="7"/>
      <c r="D142" s="7"/>
      <c r="E142" s="7"/>
      <c r="F142" s="7"/>
      <c r="G142" s="7"/>
      <c r="H142" s="7"/>
      <c r="I142" s="7"/>
      <c r="J142" s="7"/>
      <c r="K142" s="62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 ht="15.75" customHeight="1">
      <c r="A143" s="6">
        <v>125</v>
      </c>
      <c r="B143" s="7"/>
      <c r="C143" s="7"/>
      <c r="D143" s="7"/>
      <c r="E143" s="7"/>
      <c r="F143" s="7"/>
      <c r="G143" s="7"/>
      <c r="H143" s="7"/>
      <c r="I143" s="7"/>
      <c r="J143" s="7"/>
      <c r="K143" s="62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 ht="15.75" customHeight="1">
      <c r="A144" s="6">
        <v>126</v>
      </c>
      <c r="B144" s="7"/>
      <c r="C144" s="7"/>
      <c r="D144" s="7"/>
      <c r="E144" s="7"/>
      <c r="F144" s="7"/>
      <c r="G144" s="7"/>
      <c r="H144" s="7"/>
      <c r="I144" s="7"/>
      <c r="J144" s="7"/>
      <c r="K144" s="62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 ht="15.75" customHeight="1">
      <c r="A145" s="6">
        <v>127</v>
      </c>
      <c r="B145" s="7"/>
      <c r="C145" s="7"/>
      <c r="D145" s="7"/>
      <c r="E145" s="7"/>
      <c r="F145" s="7"/>
      <c r="G145" s="7"/>
      <c r="H145" s="7"/>
      <c r="I145" s="7"/>
      <c r="J145" s="7"/>
      <c r="K145" s="62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 ht="15.75" customHeight="1">
      <c r="A146" s="6">
        <v>128</v>
      </c>
      <c r="B146" s="7"/>
      <c r="C146" s="7"/>
      <c r="D146" s="7"/>
      <c r="E146" s="7"/>
      <c r="F146" s="7"/>
      <c r="G146" s="7"/>
      <c r="H146" s="7"/>
      <c r="I146" s="7"/>
      <c r="J146" s="7"/>
      <c r="K146" s="62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 ht="15.75" customHeight="1">
      <c r="A147" s="6">
        <v>129</v>
      </c>
      <c r="B147" s="7"/>
      <c r="C147" s="7"/>
      <c r="D147" s="7"/>
      <c r="E147" s="7"/>
      <c r="F147" s="7"/>
      <c r="G147" s="7"/>
      <c r="H147" s="7"/>
      <c r="I147" s="7"/>
      <c r="J147" s="7"/>
      <c r="K147" s="62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 ht="15.75" customHeight="1">
      <c r="A148" s="6">
        <v>130</v>
      </c>
      <c r="B148" s="7"/>
      <c r="C148" s="7"/>
      <c r="D148" s="7"/>
      <c r="E148" s="7"/>
      <c r="F148" s="7"/>
      <c r="G148" s="7"/>
      <c r="H148" s="7"/>
      <c r="I148" s="7"/>
      <c r="J148" s="7"/>
      <c r="K148" s="62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 ht="15.75" customHeight="1">
      <c r="A149" s="6">
        <v>131</v>
      </c>
      <c r="B149" s="7"/>
      <c r="C149" s="7"/>
      <c r="D149" s="7"/>
      <c r="E149" s="7"/>
      <c r="F149" s="7"/>
      <c r="G149" s="7"/>
      <c r="H149" s="7"/>
      <c r="I149" s="7"/>
      <c r="J149" s="7"/>
      <c r="K149" s="62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 ht="15.75" customHeight="1">
      <c r="A150" s="6">
        <v>132</v>
      </c>
      <c r="B150" s="7"/>
      <c r="C150" s="7"/>
      <c r="D150" s="7"/>
      <c r="E150" s="7"/>
      <c r="F150" s="7"/>
      <c r="G150" s="7"/>
      <c r="H150" s="7"/>
      <c r="I150" s="7"/>
      <c r="J150" s="7"/>
      <c r="K150" s="62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 ht="15.75" customHeight="1">
      <c r="A151" s="6">
        <v>133</v>
      </c>
      <c r="B151" s="7"/>
      <c r="C151" s="7"/>
      <c r="D151" s="7"/>
      <c r="E151" s="7"/>
      <c r="F151" s="7"/>
      <c r="G151" s="7"/>
      <c r="H151" s="7"/>
      <c r="I151" s="7"/>
      <c r="J151" s="7"/>
      <c r="K151" s="62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 ht="15.75" customHeight="1">
      <c r="A152" s="6">
        <v>134</v>
      </c>
      <c r="B152" s="7"/>
      <c r="C152" s="7"/>
      <c r="D152" s="7"/>
      <c r="E152" s="7"/>
      <c r="F152" s="7"/>
      <c r="G152" s="7"/>
      <c r="H152" s="7"/>
      <c r="I152" s="7"/>
      <c r="J152" s="7"/>
      <c r="K152" s="62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 ht="15.75" customHeight="1">
      <c r="A153" s="6">
        <v>135</v>
      </c>
      <c r="B153" s="7"/>
      <c r="C153" s="7"/>
      <c r="D153" s="7"/>
      <c r="E153" s="7"/>
      <c r="F153" s="7"/>
      <c r="G153" s="7"/>
      <c r="H153" s="7"/>
      <c r="I153" s="7"/>
      <c r="J153" s="7"/>
      <c r="K153" s="62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 ht="15.75" customHeight="1">
      <c r="A154" s="6">
        <v>136</v>
      </c>
      <c r="B154" s="7"/>
      <c r="C154" s="7"/>
      <c r="D154" s="7"/>
      <c r="E154" s="7"/>
      <c r="F154" s="7"/>
      <c r="G154" s="7"/>
      <c r="H154" s="7"/>
      <c r="I154" s="7"/>
      <c r="J154" s="7"/>
      <c r="K154" s="62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 ht="15.75" customHeight="1">
      <c r="A155" s="6">
        <v>137</v>
      </c>
      <c r="B155" s="7"/>
      <c r="C155" s="7"/>
      <c r="D155" s="7"/>
      <c r="E155" s="7"/>
      <c r="F155" s="7"/>
      <c r="G155" s="7"/>
      <c r="H155" s="7"/>
      <c r="I155" s="7"/>
      <c r="J155" s="7"/>
      <c r="K155" s="62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 ht="15.75" customHeight="1">
      <c r="A156" s="6">
        <v>138</v>
      </c>
      <c r="B156" s="7"/>
      <c r="C156" s="7"/>
      <c r="D156" s="7"/>
      <c r="E156" s="7"/>
      <c r="F156" s="7"/>
      <c r="G156" s="7"/>
      <c r="H156" s="7"/>
      <c r="I156" s="7"/>
      <c r="J156" s="7"/>
      <c r="K156" s="62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 ht="15.75" customHeight="1">
      <c r="A157" s="6">
        <v>139</v>
      </c>
      <c r="B157" s="7"/>
      <c r="C157" s="7"/>
      <c r="D157" s="7"/>
      <c r="E157" s="7"/>
      <c r="F157" s="7"/>
      <c r="G157" s="7"/>
      <c r="H157" s="7"/>
      <c r="I157" s="7"/>
      <c r="J157" s="7"/>
      <c r="K157" s="62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 ht="15.75" customHeight="1">
      <c r="A158" s="6">
        <v>140</v>
      </c>
      <c r="B158" s="7"/>
      <c r="C158" s="7"/>
      <c r="D158" s="7"/>
      <c r="E158" s="7"/>
      <c r="F158" s="7"/>
      <c r="G158" s="7"/>
      <c r="H158" s="7"/>
      <c r="I158" s="7"/>
      <c r="J158" s="7"/>
      <c r="K158" s="62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 ht="15.75" customHeight="1">
      <c r="A159" s="6">
        <v>141</v>
      </c>
      <c r="B159" s="7"/>
      <c r="C159" s="7"/>
      <c r="D159" s="7"/>
      <c r="E159" s="7"/>
      <c r="F159" s="7"/>
      <c r="G159" s="7"/>
      <c r="H159" s="7"/>
      <c r="I159" s="7"/>
      <c r="J159" s="7"/>
      <c r="K159" s="62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 ht="15.75" customHeight="1">
      <c r="A160" s="6">
        <v>142</v>
      </c>
      <c r="B160" s="7"/>
      <c r="C160" s="7"/>
      <c r="D160" s="7"/>
      <c r="E160" s="7"/>
      <c r="F160" s="7"/>
      <c r="G160" s="7"/>
      <c r="H160" s="7"/>
      <c r="I160" s="7"/>
      <c r="J160" s="7"/>
      <c r="K160" s="62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 ht="15.75" customHeight="1">
      <c r="A161" s="6">
        <v>143</v>
      </c>
      <c r="B161" s="7"/>
      <c r="C161" s="7"/>
      <c r="D161" s="7"/>
      <c r="E161" s="7"/>
      <c r="F161" s="7"/>
      <c r="G161" s="7"/>
      <c r="H161" s="7"/>
      <c r="I161" s="7"/>
      <c r="J161" s="7"/>
      <c r="K161" s="62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 ht="15.75" customHeight="1">
      <c r="A162" s="6">
        <v>144</v>
      </c>
      <c r="B162" s="7"/>
      <c r="C162" s="7"/>
      <c r="D162" s="7"/>
      <c r="E162" s="7"/>
      <c r="F162" s="7"/>
      <c r="G162" s="7"/>
      <c r="H162" s="7"/>
      <c r="I162" s="7"/>
      <c r="J162" s="7"/>
      <c r="K162" s="62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1:25" ht="15.75" customHeight="1">
      <c r="A163" s="6">
        <v>145</v>
      </c>
      <c r="B163" s="7"/>
      <c r="C163" s="7"/>
      <c r="D163" s="7"/>
      <c r="E163" s="7"/>
      <c r="F163" s="7"/>
      <c r="G163" s="7"/>
      <c r="H163" s="7"/>
      <c r="I163" s="7"/>
      <c r="J163" s="7"/>
      <c r="K163" s="62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 ht="15.75" customHeight="1">
      <c r="A164" s="6">
        <v>146</v>
      </c>
      <c r="B164" s="7"/>
      <c r="C164" s="7"/>
      <c r="D164" s="7"/>
      <c r="E164" s="7"/>
      <c r="F164" s="7"/>
      <c r="G164" s="7"/>
      <c r="H164" s="7"/>
      <c r="I164" s="7"/>
      <c r="J164" s="7"/>
      <c r="K164" s="62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 ht="15.75" customHeight="1">
      <c r="A165" s="6">
        <v>147</v>
      </c>
      <c r="B165" s="7"/>
      <c r="C165" s="7"/>
      <c r="D165" s="7"/>
      <c r="E165" s="7"/>
      <c r="F165" s="7"/>
      <c r="G165" s="7"/>
      <c r="H165" s="7"/>
      <c r="I165" s="7"/>
      <c r="J165" s="7"/>
      <c r="K165" s="62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 ht="15.75" customHeight="1">
      <c r="A166" s="6">
        <v>148</v>
      </c>
      <c r="B166" s="7"/>
      <c r="C166" s="7"/>
      <c r="D166" s="7"/>
      <c r="E166" s="7"/>
      <c r="F166" s="7"/>
      <c r="G166" s="7"/>
      <c r="H166" s="7"/>
      <c r="I166" s="7"/>
      <c r="J166" s="7"/>
      <c r="K166" s="62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 ht="15.75" customHeight="1">
      <c r="A167" s="6">
        <v>149</v>
      </c>
      <c r="B167" s="7"/>
      <c r="C167" s="7"/>
      <c r="D167" s="7"/>
      <c r="E167" s="7"/>
      <c r="F167" s="7"/>
      <c r="G167" s="7"/>
      <c r="H167" s="7"/>
      <c r="I167" s="7"/>
      <c r="J167" s="7"/>
      <c r="K167" s="62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 ht="15.75" customHeight="1">
      <c r="A168" s="6">
        <v>150</v>
      </c>
      <c r="B168" s="7"/>
      <c r="C168" s="7"/>
      <c r="D168" s="7"/>
      <c r="E168" s="7"/>
      <c r="F168" s="7"/>
      <c r="G168" s="7"/>
      <c r="H168" s="7"/>
      <c r="I168" s="7"/>
      <c r="J168" s="7"/>
      <c r="K168" s="62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 ht="15.75" customHeight="1">
      <c r="A169" s="6"/>
      <c r="B169" s="7"/>
      <c r="C169" s="7"/>
      <c r="D169" s="7"/>
      <c r="E169" s="7"/>
      <c r="F169" s="7"/>
      <c r="G169" s="7"/>
      <c r="H169" s="7"/>
      <c r="I169" s="7"/>
      <c r="J169" s="7"/>
      <c r="K169" s="62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 ht="15.75" customHeight="1">
      <c r="A170" s="6"/>
      <c r="B170" s="7"/>
      <c r="C170" s="7"/>
      <c r="D170" s="7"/>
      <c r="E170" s="7"/>
      <c r="F170" s="7"/>
      <c r="G170" s="7"/>
      <c r="H170" s="7"/>
      <c r="I170" s="7"/>
      <c r="J170" s="7"/>
      <c r="K170" s="62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 ht="15.75" customHeight="1">
      <c r="A171" s="6"/>
      <c r="B171" s="7"/>
      <c r="C171" s="7"/>
      <c r="D171" s="7"/>
      <c r="E171" s="7"/>
      <c r="F171" s="7"/>
      <c r="G171" s="7"/>
      <c r="H171" s="7"/>
      <c r="I171" s="7"/>
      <c r="J171" s="7"/>
      <c r="K171" s="62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62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62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62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62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62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62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62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62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62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62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62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62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62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62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62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62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62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62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62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62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62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62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62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62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62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62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62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62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62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62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62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62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62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62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62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62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62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62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62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62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62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62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62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62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62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62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62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62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62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spans="1:25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62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spans="1:25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62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1:25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62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1:25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62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spans="1: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62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spans="1:25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62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spans="1:25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62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spans="1:25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62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spans="1:25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62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1:25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62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spans="1:25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62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1:25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62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spans="1:25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62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spans="1:25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62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spans="1:2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62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spans="1:25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62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spans="1:25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62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1:25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62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1:25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62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1:25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62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spans="1:25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62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spans="1:25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62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spans="1:25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62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1:25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62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1:2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62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1:25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62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spans="1:25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62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spans="1:25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62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1:25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62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1:25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62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spans="1:25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62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1:25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62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spans="1:25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62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spans="1:25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62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spans="1:2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62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1:25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62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spans="1:25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62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5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62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spans="1:25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62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spans="1:25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62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spans="1:25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62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spans="1:25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62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spans="1:25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62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spans="1:25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62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spans="1:2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62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spans="1:25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62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spans="1:25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62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spans="1:25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62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spans="1:25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62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spans="1:25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62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spans="1:25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62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spans="1:25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62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spans="1:25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62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spans="1:25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62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spans="1:2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62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spans="1:25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62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spans="1:25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62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spans="1:25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62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spans="1:25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62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spans="1:25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62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spans="1:25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62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spans="1:25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62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spans="1:25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62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spans="1:25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62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spans="1:2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62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spans="1:25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62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spans="1:25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62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spans="1:25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62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spans="1:25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62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spans="1:25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62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spans="1:25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62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spans="1:25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62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spans="1:25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62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spans="1:25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62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spans="1:2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62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spans="1:25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62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spans="1:25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62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spans="1:25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62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spans="1:25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62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spans="1:25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62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spans="1:25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62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spans="1:25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62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spans="1:25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62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spans="1:25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62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spans="1:2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62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spans="1:25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62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spans="1:25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62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spans="1:25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62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spans="1:25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62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spans="1:25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62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spans="1:25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62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spans="1:25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62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spans="1:25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62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spans="1:25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62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spans="1:2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62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spans="1:25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62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spans="1:25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62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spans="1:25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62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spans="1:25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62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spans="1:25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62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spans="1:25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62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spans="1:25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62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spans="1:25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62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spans="1:25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62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spans="1: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62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spans="1:25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62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spans="1:25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62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spans="1:25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62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spans="1:25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62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spans="1:25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62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spans="1:25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62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spans="1:25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62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spans="1:25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62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spans="1:25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62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spans="1:2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62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spans="1:25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62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spans="1:25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62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spans="1:25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62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spans="1:25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62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spans="1:25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62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spans="1:25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62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spans="1:25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62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spans="1:25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62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spans="1:25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62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spans="1:2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62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spans="1:25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62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spans="1:25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62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spans="1:25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62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spans="1:25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62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spans="1:25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62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spans="1:25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62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spans="1:25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62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spans="1:25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62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spans="1:25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62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spans="1:2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62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spans="1:25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62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spans="1:25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62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spans="1:25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62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spans="1:25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62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spans="1:25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62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spans="1:25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62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spans="1:25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62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spans="1:25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62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spans="1:25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62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spans="1:2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62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spans="1:25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62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spans="1:25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62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spans="1:25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62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7:D17"/>
    <mergeCell ref="E17:I17"/>
    <mergeCell ref="A1:I2"/>
    <mergeCell ref="A3:I3"/>
    <mergeCell ref="A4:E4"/>
    <mergeCell ref="F4:I4"/>
    <mergeCell ref="A16:I16"/>
  </mergeCells>
  <dataValidations count="4">
    <dataValidation type="list" allowBlank="1" showErrorMessage="1" sqref="H44 H53 H56 H61 H91 H96 H121" xr:uid="{00000000-0002-0000-0800-000000000000}">
      <formula1>"Pending,Sent,Followed Up,Responded,Bounced"</formula1>
    </dataValidation>
    <dataValidation type="list" allowBlank="1" showErrorMessage="1" sqref="H72" xr:uid="{00000000-0002-0000-0800-000001000000}">
      <formula1>"Pending,Sent,Followed Up,Responded,OOO"</formula1>
    </dataValidation>
    <dataValidation type="list" allowBlank="1" showErrorMessage="1" sqref="H19:H43 H45:H52 H54:H55 H57:H60 H62:H71 H73:H90 H92:H95 H101:H120 H126:H168" xr:uid="{00000000-0002-0000-0800-000002000000}">
      <formula1>"Pending,Sent,Followed Up,Responded,Completed"</formula1>
    </dataValidation>
    <dataValidation type="list" allowBlank="1" showErrorMessage="1" sqref="H97:H100 H122:H125" xr:uid="{00000000-0002-0000-0800-000003000000}">
      <formula1>"Pending,Sent,Followed Up,Responded"</formula1>
    </dataValidation>
  </dataValidations>
  <hyperlinks>
    <hyperlink ref="A1" location="OVERVIEW!A1" display="Evercore Application Tracker" xr:uid="{00000000-0004-0000-0800-000000000000}"/>
    <hyperlink ref="E19" r:id="rId1" xr:uid="{00000000-0004-0000-0800-000001000000}"/>
    <hyperlink ref="E20" r:id="rId2" xr:uid="{00000000-0004-0000-0800-000002000000}"/>
    <hyperlink ref="E21" r:id="rId3" xr:uid="{00000000-0004-0000-0800-000003000000}"/>
    <hyperlink ref="E22" r:id="rId4" xr:uid="{00000000-0004-0000-0800-000004000000}"/>
    <hyperlink ref="E23" r:id="rId5" xr:uid="{00000000-0004-0000-0800-000005000000}"/>
    <hyperlink ref="E24" r:id="rId6" xr:uid="{00000000-0004-0000-0800-000006000000}"/>
    <hyperlink ref="E25" r:id="rId7" xr:uid="{00000000-0004-0000-0800-000007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Y1000"/>
  <sheetViews>
    <sheetView workbookViewId="0">
      <pane ySplit="2" topLeftCell="A3" activePane="bottomLeft" state="frozen"/>
      <selection pane="bottomLeft" activeCell="A4" sqref="A4:E4"/>
    </sheetView>
  </sheetViews>
  <sheetFormatPr defaultColWidth="12.6328125" defaultRowHeight="15" customHeight="1"/>
  <cols>
    <col min="1" max="1" width="3.90625" customWidth="1"/>
    <col min="2" max="2" width="23.36328125" customWidth="1"/>
    <col min="3" max="3" width="29.26953125" customWidth="1"/>
    <col min="4" max="4" width="14.90625" customWidth="1"/>
    <col min="5" max="6" width="14" customWidth="1"/>
    <col min="7" max="8" width="12.26953125" customWidth="1"/>
    <col min="9" max="9" width="50.90625" customWidth="1"/>
  </cols>
  <sheetData>
    <row r="1" spans="1:25" ht="24.75" customHeight="1">
      <c r="A1" s="102" t="s">
        <v>720</v>
      </c>
      <c r="B1" s="72"/>
      <c r="C1" s="72"/>
      <c r="D1" s="72"/>
      <c r="E1" s="72"/>
      <c r="F1" s="72"/>
      <c r="G1" s="72"/>
      <c r="H1" s="72"/>
      <c r="I1" s="72"/>
      <c r="J1" s="7"/>
      <c r="K1" s="62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15.75" customHeight="1">
      <c r="A2" s="72"/>
      <c r="B2" s="72"/>
      <c r="C2" s="72"/>
      <c r="D2" s="72"/>
      <c r="E2" s="72"/>
      <c r="F2" s="72"/>
      <c r="G2" s="72"/>
      <c r="H2" s="72"/>
      <c r="I2" s="72"/>
      <c r="J2" s="7"/>
      <c r="K2" s="62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10.5" customHeight="1">
      <c r="A3" s="97"/>
      <c r="B3" s="72"/>
      <c r="C3" s="72"/>
      <c r="D3" s="72"/>
      <c r="E3" s="72"/>
      <c r="F3" s="72"/>
      <c r="G3" s="72"/>
      <c r="H3" s="72"/>
      <c r="I3" s="72"/>
      <c r="J3" s="7"/>
      <c r="K3" s="62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15.75" customHeight="1">
      <c r="A4" s="99" t="s">
        <v>564</v>
      </c>
      <c r="B4" s="72"/>
      <c r="C4" s="72"/>
      <c r="D4" s="72"/>
      <c r="E4" s="72"/>
      <c r="F4" s="100" t="s">
        <v>566</v>
      </c>
      <c r="G4" s="72"/>
      <c r="H4" s="72"/>
      <c r="I4" s="72"/>
      <c r="J4" s="63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5.75" customHeight="1">
      <c r="A5" s="51" t="s">
        <v>6</v>
      </c>
      <c r="B5" s="52" t="s">
        <v>567</v>
      </c>
      <c r="C5" s="52" t="s">
        <v>568</v>
      </c>
      <c r="D5" s="52" t="s">
        <v>569</v>
      </c>
      <c r="E5" s="52" t="s">
        <v>571</v>
      </c>
      <c r="F5" s="52" t="s">
        <v>572</v>
      </c>
      <c r="G5" s="52" t="s">
        <v>566</v>
      </c>
      <c r="H5" s="52" t="s">
        <v>573</v>
      </c>
      <c r="I5" s="52" t="s">
        <v>574</v>
      </c>
      <c r="J5" s="63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15.75" customHeight="1">
      <c r="A6" s="7">
        <v>1</v>
      </c>
      <c r="B6" s="7"/>
      <c r="C6" s="7"/>
      <c r="D6" s="7"/>
      <c r="E6" s="14"/>
      <c r="F6" s="14"/>
      <c r="G6" s="53"/>
      <c r="H6" s="7"/>
      <c r="I6" s="7"/>
      <c r="J6" s="63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15.75" customHeight="1">
      <c r="A7" s="7">
        <v>2</v>
      </c>
      <c r="B7" s="7"/>
      <c r="C7" s="7"/>
      <c r="D7" s="7"/>
      <c r="E7" s="14"/>
      <c r="F7" s="14"/>
      <c r="G7" s="53"/>
      <c r="H7" s="7"/>
      <c r="I7" s="7"/>
      <c r="J7" s="63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15.75" customHeight="1">
      <c r="A8" s="7">
        <v>3</v>
      </c>
      <c r="B8" s="7"/>
      <c r="C8" s="7"/>
      <c r="D8" s="7"/>
      <c r="E8" s="14"/>
      <c r="F8" s="14"/>
      <c r="G8" s="53"/>
      <c r="H8" s="7"/>
      <c r="I8" s="14"/>
      <c r="J8" s="63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5.75" customHeight="1">
      <c r="A9" s="7">
        <v>4</v>
      </c>
      <c r="B9" s="7"/>
      <c r="C9" s="7"/>
      <c r="D9" s="7"/>
      <c r="E9" s="14"/>
      <c r="F9" s="7"/>
      <c r="G9" s="53"/>
      <c r="H9" s="7"/>
      <c r="I9" s="7"/>
      <c r="J9" s="63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5.75" customHeight="1">
      <c r="A10" s="7">
        <v>5</v>
      </c>
      <c r="B10" s="7"/>
      <c r="C10" s="7"/>
      <c r="D10" s="7"/>
      <c r="E10" s="14"/>
      <c r="F10" s="7"/>
      <c r="G10" s="53"/>
      <c r="H10" s="7"/>
      <c r="I10" s="7"/>
      <c r="J10" s="63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5.75" customHeight="1">
      <c r="A11" s="7">
        <v>6</v>
      </c>
      <c r="B11" s="7"/>
      <c r="C11" s="7"/>
      <c r="D11" s="7"/>
      <c r="E11" s="14"/>
      <c r="F11" s="7"/>
      <c r="G11" s="53"/>
      <c r="H11" s="7"/>
      <c r="I11" s="7"/>
      <c r="J11" s="63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15.75" customHeight="1">
      <c r="A12" s="7">
        <v>7</v>
      </c>
      <c r="B12" s="7"/>
      <c r="C12" s="7"/>
      <c r="D12" s="7"/>
      <c r="E12" s="14"/>
      <c r="F12" s="7"/>
      <c r="G12" s="53"/>
      <c r="H12" s="7"/>
      <c r="I12" s="7"/>
      <c r="J12" s="63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15.75" customHeight="1">
      <c r="A13" s="7">
        <v>8</v>
      </c>
      <c r="B13" s="7"/>
      <c r="C13" s="7"/>
      <c r="D13" s="7"/>
      <c r="E13" s="14"/>
      <c r="F13" s="7"/>
      <c r="G13" s="53"/>
      <c r="H13" s="7"/>
      <c r="I13" s="7"/>
      <c r="J13" s="63"/>
      <c r="K13" s="64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15.75" customHeight="1">
      <c r="A14" s="7">
        <v>9</v>
      </c>
      <c r="B14" s="7"/>
      <c r="C14" s="7"/>
      <c r="D14" s="7"/>
      <c r="E14" s="14"/>
      <c r="F14" s="7"/>
      <c r="G14" s="60"/>
      <c r="H14" s="7"/>
      <c r="I14" s="7"/>
      <c r="J14" s="63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5.75" customHeight="1">
      <c r="A15" s="7">
        <v>10</v>
      </c>
      <c r="B15" s="7"/>
      <c r="C15" s="7"/>
      <c r="D15" s="7"/>
      <c r="E15" s="14"/>
      <c r="F15" s="7"/>
      <c r="G15" s="53"/>
      <c r="H15" s="7"/>
      <c r="I15" s="7"/>
      <c r="J15" s="63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0.5" customHeight="1">
      <c r="A16" s="97"/>
      <c r="B16" s="72"/>
      <c r="C16" s="72"/>
      <c r="D16" s="72"/>
      <c r="E16" s="72"/>
      <c r="F16" s="72"/>
      <c r="G16" s="72"/>
      <c r="H16" s="72"/>
      <c r="I16" s="72"/>
      <c r="J16" s="7"/>
      <c r="K16" s="62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ht="15.75" customHeight="1">
      <c r="A17" s="99" t="s">
        <v>564</v>
      </c>
      <c r="B17" s="72"/>
      <c r="C17" s="72"/>
      <c r="D17" s="72"/>
      <c r="E17" s="100" t="s">
        <v>598</v>
      </c>
      <c r="F17" s="72"/>
      <c r="G17" s="72"/>
      <c r="H17" s="72"/>
      <c r="I17" s="72"/>
      <c r="J17" s="7"/>
      <c r="K17" s="62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ht="15.75" customHeight="1">
      <c r="A18" s="52" t="s">
        <v>6</v>
      </c>
      <c r="B18" s="52" t="s">
        <v>567</v>
      </c>
      <c r="C18" s="52" t="s">
        <v>568</v>
      </c>
      <c r="D18" s="52" t="s">
        <v>569</v>
      </c>
      <c r="E18" s="52" t="s">
        <v>600</v>
      </c>
      <c r="F18" s="52"/>
      <c r="G18" s="52"/>
      <c r="H18" s="52" t="s">
        <v>604</v>
      </c>
      <c r="I18" s="52" t="s">
        <v>605</v>
      </c>
      <c r="J18" s="7"/>
      <c r="K18" s="62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ht="15.75" customHeight="1">
      <c r="A19" s="7">
        <v>1</v>
      </c>
      <c r="B19" s="7"/>
      <c r="C19" s="7"/>
      <c r="D19" s="7"/>
      <c r="E19" s="56"/>
      <c r="F19" s="7"/>
      <c r="G19" s="7"/>
      <c r="H19" s="7"/>
      <c r="I19" s="7"/>
      <c r="J19" s="7"/>
      <c r="K19" s="62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ht="15.75" customHeight="1">
      <c r="A20" s="7">
        <v>2</v>
      </c>
      <c r="B20" s="7"/>
      <c r="C20" s="7"/>
      <c r="D20" s="7"/>
      <c r="E20" s="56"/>
      <c r="F20" s="7"/>
      <c r="G20" s="7"/>
      <c r="H20" s="7"/>
      <c r="I20" s="7"/>
      <c r="J20" s="7"/>
      <c r="K20" s="62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ht="15.75" customHeight="1">
      <c r="A21" s="7">
        <v>3</v>
      </c>
      <c r="B21" s="7"/>
      <c r="C21" s="7"/>
      <c r="D21" s="7"/>
      <c r="E21" s="56"/>
      <c r="F21" s="7"/>
      <c r="G21" s="7"/>
      <c r="H21" s="7"/>
      <c r="I21" s="7"/>
      <c r="J21" s="7"/>
      <c r="K21" s="62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ht="15.75" customHeight="1">
      <c r="A22" s="6">
        <v>4</v>
      </c>
      <c r="B22" s="7"/>
      <c r="C22" s="7"/>
      <c r="D22" s="7"/>
      <c r="E22" s="7"/>
      <c r="F22" s="7"/>
      <c r="G22" s="7"/>
      <c r="H22" s="7"/>
      <c r="I22" s="7"/>
      <c r="J22" s="7"/>
      <c r="K22" s="62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ht="15.75" customHeight="1">
      <c r="A23" s="6">
        <v>5</v>
      </c>
      <c r="B23" s="7"/>
      <c r="C23" s="7"/>
      <c r="D23" s="7"/>
      <c r="E23" s="7"/>
      <c r="F23" s="7"/>
      <c r="G23" s="7"/>
      <c r="H23" s="7"/>
      <c r="I23" s="7"/>
      <c r="J23" s="7"/>
      <c r="K23" s="62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ht="15.75" customHeight="1">
      <c r="A24" s="6">
        <v>6</v>
      </c>
      <c r="B24" s="7"/>
      <c r="C24" s="7"/>
      <c r="D24" s="7"/>
      <c r="E24" s="41"/>
      <c r="F24" s="7"/>
      <c r="G24" s="7"/>
      <c r="H24" s="7"/>
      <c r="I24" s="7"/>
      <c r="J24" s="7"/>
      <c r="K24" s="62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ht="15.75" customHeight="1">
      <c r="A25" s="6">
        <v>7</v>
      </c>
      <c r="B25" s="7"/>
      <c r="C25" s="7"/>
      <c r="D25" s="7"/>
      <c r="E25" s="41"/>
      <c r="F25" s="7"/>
      <c r="G25" s="7"/>
      <c r="H25" s="7"/>
      <c r="I25" s="7"/>
      <c r="J25" s="7"/>
      <c r="K25" s="62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ht="15.75" customHeight="1">
      <c r="A26" s="6">
        <v>8</v>
      </c>
      <c r="B26" s="7"/>
      <c r="C26" s="7"/>
      <c r="D26" s="7"/>
      <c r="E26" s="41"/>
      <c r="F26" s="7"/>
      <c r="G26" s="7"/>
      <c r="H26" s="7"/>
      <c r="I26" s="7"/>
      <c r="J26" s="7"/>
      <c r="K26" s="62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 ht="15.75" customHeight="1">
      <c r="A27" s="6">
        <v>9</v>
      </c>
      <c r="B27" s="7"/>
      <c r="C27" s="7"/>
      <c r="D27" s="7"/>
      <c r="E27" s="41"/>
      <c r="F27" s="7"/>
      <c r="G27" s="7"/>
      <c r="H27" s="7"/>
      <c r="I27" s="7"/>
      <c r="J27" s="7"/>
      <c r="K27" s="62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ht="15.75" customHeight="1">
      <c r="A28" s="6">
        <v>10</v>
      </c>
      <c r="B28" s="7"/>
      <c r="C28" s="7"/>
      <c r="D28" s="7"/>
      <c r="E28" s="41"/>
      <c r="F28" s="7"/>
      <c r="G28" s="7"/>
      <c r="H28" s="7"/>
      <c r="I28" s="7"/>
      <c r="J28" s="7"/>
      <c r="K28" s="62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ht="15.75" customHeight="1">
      <c r="A29" s="6">
        <v>11</v>
      </c>
      <c r="B29" s="7"/>
      <c r="C29" s="7"/>
      <c r="D29" s="7"/>
      <c r="E29" s="41"/>
      <c r="F29" s="7"/>
      <c r="G29" s="7"/>
      <c r="H29" s="7"/>
      <c r="I29" s="7"/>
      <c r="J29" s="7"/>
      <c r="K29" s="62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ht="15.75" customHeight="1">
      <c r="A30" s="6">
        <v>12</v>
      </c>
      <c r="B30" s="7"/>
      <c r="C30" s="7"/>
      <c r="D30" s="7"/>
      <c r="E30" s="41"/>
      <c r="F30" s="7"/>
      <c r="G30" s="7"/>
      <c r="H30" s="7"/>
      <c r="I30" s="7"/>
      <c r="J30" s="7"/>
      <c r="K30" s="62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ht="15.75" customHeight="1">
      <c r="A31" s="6">
        <v>13</v>
      </c>
      <c r="B31" s="7"/>
      <c r="C31" s="7"/>
      <c r="D31" s="7"/>
      <c r="E31" s="41"/>
      <c r="F31" s="7"/>
      <c r="G31" s="7"/>
      <c r="H31" s="7"/>
      <c r="I31" s="7"/>
      <c r="J31" s="7"/>
      <c r="K31" s="62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ht="15.75" customHeight="1">
      <c r="A32" s="6">
        <v>14</v>
      </c>
      <c r="B32" s="7"/>
      <c r="C32" s="7"/>
      <c r="D32" s="7"/>
      <c r="E32" s="41"/>
      <c r="F32" s="7"/>
      <c r="G32" s="7"/>
      <c r="H32" s="7"/>
      <c r="I32" s="7"/>
      <c r="J32" s="7"/>
      <c r="K32" s="62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ht="15.75" customHeight="1">
      <c r="A33" s="6">
        <v>15</v>
      </c>
      <c r="B33" s="7"/>
      <c r="C33" s="7"/>
      <c r="D33" s="7"/>
      <c r="E33" s="41"/>
      <c r="F33" s="7"/>
      <c r="G33" s="7"/>
      <c r="H33" s="7"/>
      <c r="I33" s="7"/>
      <c r="J33" s="7"/>
      <c r="K33" s="62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ht="15.75" customHeight="1">
      <c r="A34" s="6">
        <v>16</v>
      </c>
      <c r="B34" s="7"/>
      <c r="C34" s="7"/>
      <c r="D34" s="7"/>
      <c r="E34" s="41"/>
      <c r="F34" s="7"/>
      <c r="G34" s="7"/>
      <c r="H34" s="7"/>
      <c r="I34" s="7"/>
      <c r="J34" s="7"/>
      <c r="K34" s="62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ht="15.75" customHeight="1">
      <c r="A35" s="6">
        <v>17</v>
      </c>
      <c r="B35" s="7"/>
      <c r="C35" s="7"/>
      <c r="D35" s="7"/>
      <c r="E35" s="41"/>
      <c r="F35" s="7"/>
      <c r="G35" s="7"/>
      <c r="H35" s="7"/>
      <c r="I35" s="7"/>
      <c r="J35" s="7"/>
      <c r="K35" s="62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ht="15.75" customHeight="1">
      <c r="A36" s="6">
        <v>18</v>
      </c>
      <c r="B36" s="7"/>
      <c r="C36" s="7"/>
      <c r="D36" s="7"/>
      <c r="E36" s="41"/>
      <c r="F36" s="7"/>
      <c r="G36" s="7"/>
      <c r="H36" s="7"/>
      <c r="I36" s="7"/>
      <c r="J36" s="7"/>
      <c r="K36" s="62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ht="15.75" customHeight="1">
      <c r="A37" s="6">
        <v>19</v>
      </c>
      <c r="B37" s="7"/>
      <c r="C37" s="7"/>
      <c r="D37" s="7"/>
      <c r="E37" s="56"/>
      <c r="F37" s="7"/>
      <c r="G37" s="7"/>
      <c r="H37" s="7"/>
      <c r="I37" s="7"/>
      <c r="J37" s="7"/>
      <c r="K37" s="62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ht="15.75" customHeight="1">
      <c r="A38" s="6">
        <v>20</v>
      </c>
      <c r="B38" s="7"/>
      <c r="C38" s="7"/>
      <c r="D38" s="7"/>
      <c r="E38" s="56"/>
      <c r="F38" s="7"/>
      <c r="G38" s="7"/>
      <c r="H38" s="7"/>
      <c r="I38" s="7"/>
      <c r="J38" s="7"/>
      <c r="K38" s="62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ht="15.75" customHeight="1">
      <c r="A39" s="6">
        <v>21</v>
      </c>
      <c r="B39" s="7"/>
      <c r="C39" s="7"/>
      <c r="D39" s="7"/>
      <c r="E39" s="56"/>
      <c r="F39" s="7"/>
      <c r="G39" s="7"/>
      <c r="H39" s="7"/>
      <c r="I39" s="7"/>
      <c r="J39" s="7"/>
      <c r="K39" s="62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ht="15.75" customHeight="1">
      <c r="A40" s="6">
        <v>22</v>
      </c>
      <c r="B40" s="7"/>
      <c r="C40" s="7"/>
      <c r="D40" s="7"/>
      <c r="E40" s="56"/>
      <c r="F40" s="7"/>
      <c r="G40" s="7"/>
      <c r="H40" s="7"/>
      <c r="I40" s="7"/>
      <c r="J40" s="7"/>
      <c r="K40" s="62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ht="15.75" customHeight="1">
      <c r="A41" s="6">
        <v>23</v>
      </c>
      <c r="B41" s="7"/>
      <c r="C41" s="7"/>
      <c r="D41" s="7"/>
      <c r="E41" s="41"/>
      <c r="F41" s="7"/>
      <c r="G41" s="7"/>
      <c r="H41" s="7"/>
      <c r="I41" s="7"/>
      <c r="J41" s="7"/>
      <c r="K41" s="62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ht="15.75" customHeight="1">
      <c r="A42" s="6">
        <v>24</v>
      </c>
      <c r="B42" s="7"/>
      <c r="C42" s="7"/>
      <c r="D42" s="7"/>
      <c r="E42" s="41"/>
      <c r="F42" s="7"/>
      <c r="G42" s="7"/>
      <c r="H42" s="7"/>
      <c r="I42" s="7"/>
      <c r="J42" s="7"/>
      <c r="K42" s="62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ht="15.75" customHeight="1">
      <c r="A43" s="6">
        <v>25</v>
      </c>
      <c r="B43" s="7"/>
      <c r="C43" s="7"/>
      <c r="D43" s="7"/>
      <c r="E43" s="41"/>
      <c r="F43" s="7"/>
      <c r="G43" s="7"/>
      <c r="H43" s="7"/>
      <c r="I43" s="7"/>
      <c r="J43" s="7"/>
      <c r="K43" s="62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ht="15.75" customHeight="1">
      <c r="A44" s="6">
        <v>26</v>
      </c>
      <c r="B44" s="7"/>
      <c r="C44" s="7"/>
      <c r="D44" s="7"/>
      <c r="E44" s="41"/>
      <c r="F44" s="7"/>
      <c r="G44" s="7"/>
      <c r="H44" s="7"/>
      <c r="I44" s="7"/>
      <c r="J44" s="7"/>
      <c r="K44" s="62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ht="15.75" customHeight="1">
      <c r="A45" s="6">
        <v>27</v>
      </c>
      <c r="B45" s="7"/>
      <c r="C45" s="7"/>
      <c r="D45" s="7"/>
      <c r="E45" s="41"/>
      <c r="F45" s="7"/>
      <c r="G45" s="7"/>
      <c r="H45" s="7"/>
      <c r="I45" s="7"/>
      <c r="J45" s="7"/>
      <c r="K45" s="62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ht="15.75" customHeight="1">
      <c r="A46" s="6">
        <v>28</v>
      </c>
      <c r="B46" s="7"/>
      <c r="C46" s="7"/>
      <c r="D46" s="7"/>
      <c r="E46" s="56"/>
      <c r="F46" s="7"/>
      <c r="G46" s="7"/>
      <c r="H46" s="7"/>
      <c r="I46" s="7"/>
      <c r="J46" s="7"/>
      <c r="K46" s="62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ht="15.75" customHeight="1">
      <c r="A47" s="6">
        <v>29</v>
      </c>
      <c r="B47" s="7"/>
      <c r="C47" s="7"/>
      <c r="D47" s="7"/>
      <c r="E47" s="56"/>
      <c r="F47" s="7"/>
      <c r="G47" s="7"/>
      <c r="H47" s="7"/>
      <c r="I47" s="7"/>
      <c r="J47" s="7"/>
      <c r="K47" s="62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ht="15.75" customHeight="1">
      <c r="A48" s="6">
        <v>30</v>
      </c>
      <c r="B48" s="7"/>
      <c r="C48" s="7"/>
      <c r="D48" s="7"/>
      <c r="E48" s="56"/>
      <c r="F48" s="7"/>
      <c r="G48" s="7"/>
      <c r="H48" s="7"/>
      <c r="I48" s="7"/>
      <c r="J48" s="7"/>
      <c r="K48" s="62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ht="15.75" customHeight="1">
      <c r="A49" s="6">
        <v>31</v>
      </c>
      <c r="B49" s="7"/>
      <c r="C49" s="7"/>
      <c r="D49" s="7"/>
      <c r="E49" s="56"/>
      <c r="F49" s="7"/>
      <c r="G49" s="7"/>
      <c r="H49" s="7"/>
      <c r="I49" s="7"/>
      <c r="J49" s="7"/>
      <c r="K49" s="62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ht="15.75" customHeight="1">
      <c r="A50" s="6">
        <v>32</v>
      </c>
      <c r="B50" s="7"/>
      <c r="C50" s="7"/>
      <c r="D50" s="7"/>
      <c r="E50" s="41"/>
      <c r="F50" s="7"/>
      <c r="G50" s="7"/>
      <c r="H50" s="7"/>
      <c r="I50" s="7"/>
      <c r="J50" s="7"/>
      <c r="K50" s="62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ht="15.75" customHeight="1">
      <c r="A51" s="6">
        <v>33</v>
      </c>
      <c r="B51" s="7"/>
      <c r="C51" s="7"/>
      <c r="D51" s="7"/>
      <c r="E51" s="41"/>
      <c r="F51" s="7"/>
      <c r="G51" s="7"/>
      <c r="H51" s="7"/>
      <c r="I51" s="7"/>
      <c r="J51" s="7"/>
      <c r="K51" s="62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ht="15.75" customHeight="1">
      <c r="A52" s="6">
        <v>34</v>
      </c>
      <c r="B52" s="7"/>
      <c r="C52" s="7"/>
      <c r="D52" s="7"/>
      <c r="E52" s="41"/>
      <c r="F52" s="7"/>
      <c r="G52" s="7"/>
      <c r="H52" s="7"/>
      <c r="I52" s="7"/>
      <c r="J52" s="7"/>
      <c r="K52" s="62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 ht="15.75" customHeight="1">
      <c r="A53" s="6">
        <v>35</v>
      </c>
      <c r="B53" s="7"/>
      <c r="C53" s="7"/>
      <c r="D53" s="7"/>
      <c r="E53" s="7"/>
      <c r="F53" s="7"/>
      <c r="G53" s="7"/>
      <c r="H53" s="7"/>
      <c r="I53" s="7"/>
      <c r="J53" s="7"/>
      <c r="K53" s="62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 ht="15.75" customHeight="1">
      <c r="A54" s="6">
        <v>36</v>
      </c>
      <c r="B54" s="7"/>
      <c r="C54" s="7"/>
      <c r="D54" s="7"/>
      <c r="E54" s="7"/>
      <c r="F54" s="7"/>
      <c r="G54" s="7"/>
      <c r="H54" s="7"/>
      <c r="I54" s="7"/>
      <c r="J54" s="7"/>
      <c r="K54" s="62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 ht="15.75" customHeight="1">
      <c r="A55" s="6">
        <v>37</v>
      </c>
      <c r="B55" s="7"/>
      <c r="C55" s="7"/>
      <c r="D55" s="7"/>
      <c r="E55" s="41"/>
      <c r="F55" s="7"/>
      <c r="G55" s="7"/>
      <c r="H55" s="7"/>
      <c r="I55" s="7"/>
      <c r="J55" s="7"/>
      <c r="K55" s="62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 ht="15.75" customHeight="1">
      <c r="A56" s="6">
        <v>38</v>
      </c>
      <c r="B56" s="7"/>
      <c r="C56" s="7"/>
      <c r="D56" s="7"/>
      <c r="E56" s="7"/>
      <c r="F56" s="7"/>
      <c r="G56" s="7"/>
      <c r="H56" s="7"/>
      <c r="I56" s="7"/>
      <c r="J56" s="7"/>
      <c r="K56" s="62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 ht="15.75" customHeight="1">
      <c r="A57" s="6">
        <v>39</v>
      </c>
      <c r="B57" s="7"/>
      <c r="C57" s="7"/>
      <c r="D57" s="7"/>
      <c r="E57" s="7"/>
      <c r="F57" s="7"/>
      <c r="G57" s="7"/>
      <c r="H57" s="7"/>
      <c r="I57" s="7"/>
      <c r="J57" s="7"/>
      <c r="K57" s="62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 ht="15.75" customHeight="1">
      <c r="A58" s="6">
        <v>40</v>
      </c>
      <c r="B58" s="7"/>
      <c r="C58" s="7"/>
      <c r="D58" s="7"/>
      <c r="E58" s="41"/>
      <c r="F58" s="7"/>
      <c r="G58" s="7"/>
      <c r="H58" s="7"/>
      <c r="I58" s="7"/>
      <c r="J58" s="7"/>
      <c r="K58" s="62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ht="15.75" customHeight="1">
      <c r="A59" s="6">
        <v>41</v>
      </c>
      <c r="B59" s="7"/>
      <c r="C59" s="7"/>
      <c r="D59" s="7"/>
      <c r="E59" s="41"/>
      <c r="F59" s="7"/>
      <c r="G59" s="7"/>
      <c r="H59" s="7"/>
      <c r="I59" s="7"/>
      <c r="J59" s="7"/>
      <c r="K59" s="62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ht="15.75" customHeight="1">
      <c r="A60" s="6">
        <v>42</v>
      </c>
      <c r="B60" s="7"/>
      <c r="C60" s="7"/>
      <c r="D60" s="7"/>
      <c r="E60" s="41"/>
      <c r="F60" s="7"/>
      <c r="G60" s="7"/>
      <c r="H60" s="7"/>
      <c r="I60" s="7"/>
      <c r="J60" s="7"/>
      <c r="K60" s="62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ht="15.75" customHeight="1">
      <c r="A61" s="6">
        <v>43</v>
      </c>
      <c r="B61" s="7"/>
      <c r="C61" s="7"/>
      <c r="D61" s="7"/>
      <c r="E61" s="41"/>
      <c r="F61" s="7"/>
      <c r="G61" s="7"/>
      <c r="H61" s="7"/>
      <c r="I61" s="7"/>
      <c r="J61" s="7"/>
      <c r="K61" s="62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 ht="15.75" customHeight="1">
      <c r="A62" s="6">
        <v>44</v>
      </c>
      <c r="B62" s="7"/>
      <c r="C62" s="7"/>
      <c r="D62" s="7"/>
      <c r="E62" s="41"/>
      <c r="F62" s="7"/>
      <c r="G62" s="7"/>
      <c r="H62" s="7"/>
      <c r="I62" s="7"/>
      <c r="J62" s="7"/>
      <c r="K62" s="62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 ht="15.75" customHeight="1">
      <c r="A63" s="6">
        <v>45</v>
      </c>
      <c r="B63" s="7"/>
      <c r="C63" s="7"/>
      <c r="D63" s="7"/>
      <c r="E63" s="41"/>
      <c r="F63" s="7"/>
      <c r="G63" s="7"/>
      <c r="H63" s="7"/>
      <c r="I63" s="7"/>
      <c r="J63" s="7"/>
      <c r="K63" s="62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 ht="15.75" customHeight="1">
      <c r="A64" s="6">
        <v>46</v>
      </c>
      <c r="B64" s="7"/>
      <c r="C64" s="7"/>
      <c r="D64" s="7"/>
      <c r="E64" s="7"/>
      <c r="F64" s="7"/>
      <c r="G64" s="7"/>
      <c r="H64" s="7"/>
      <c r="I64" s="7"/>
      <c r="J64" s="7"/>
      <c r="K64" s="62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 ht="15.75" customHeight="1">
      <c r="A65" s="6">
        <v>47</v>
      </c>
      <c r="B65" s="7"/>
      <c r="C65" s="7"/>
      <c r="D65" s="7"/>
      <c r="E65" s="41"/>
      <c r="F65" s="7"/>
      <c r="G65" s="7"/>
      <c r="H65" s="7"/>
      <c r="I65" s="7"/>
      <c r="J65" s="7"/>
      <c r="K65" s="62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 ht="15.75" customHeight="1">
      <c r="A66" s="6">
        <v>48</v>
      </c>
      <c r="B66" s="7"/>
      <c r="C66" s="7"/>
      <c r="D66" s="7"/>
      <c r="E66" s="41"/>
      <c r="F66" s="7"/>
      <c r="G66" s="7"/>
      <c r="H66" s="7"/>
      <c r="I66" s="7"/>
      <c r="J66" s="7"/>
      <c r="K66" s="62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 ht="15.75" customHeight="1">
      <c r="A67" s="6">
        <v>49</v>
      </c>
      <c r="B67" s="7"/>
      <c r="C67" s="7"/>
      <c r="D67" s="7"/>
      <c r="E67" s="41"/>
      <c r="F67" s="7"/>
      <c r="G67" s="7"/>
      <c r="H67" s="7"/>
      <c r="I67" s="7"/>
      <c r="J67" s="7"/>
      <c r="K67" s="62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ht="15.75" customHeight="1">
      <c r="A68" s="6">
        <v>50</v>
      </c>
      <c r="B68" s="7"/>
      <c r="C68" s="7"/>
      <c r="D68" s="7"/>
      <c r="E68" s="41"/>
      <c r="F68" s="7"/>
      <c r="G68" s="7"/>
      <c r="H68" s="7"/>
      <c r="I68" s="7"/>
      <c r="J68" s="7"/>
      <c r="K68" s="62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ht="15.75" customHeight="1">
      <c r="A69" s="6">
        <v>51</v>
      </c>
      <c r="B69" s="7"/>
      <c r="C69" s="7"/>
      <c r="D69" s="7"/>
      <c r="E69" s="41"/>
      <c r="F69" s="7"/>
      <c r="G69" s="7"/>
      <c r="H69" s="7"/>
      <c r="I69" s="7"/>
      <c r="J69" s="65"/>
      <c r="K69" s="62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ht="15.75" customHeight="1">
      <c r="A70" s="6">
        <v>52</v>
      </c>
      <c r="B70" s="7"/>
      <c r="C70" s="7"/>
      <c r="D70" s="7"/>
      <c r="E70" s="41"/>
      <c r="F70" s="7"/>
      <c r="G70" s="7"/>
      <c r="H70" s="7"/>
      <c r="I70" s="7"/>
      <c r="J70" s="65"/>
      <c r="K70" s="62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 ht="15.75" customHeight="1">
      <c r="A71" s="6">
        <v>53</v>
      </c>
      <c r="B71" s="7"/>
      <c r="C71" s="7"/>
      <c r="D71" s="7"/>
      <c r="E71" s="7"/>
      <c r="F71" s="7"/>
      <c r="G71" s="7"/>
      <c r="H71" s="7"/>
      <c r="I71" s="7"/>
      <c r="J71" s="65"/>
      <c r="K71" s="62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 ht="15.75" customHeight="1">
      <c r="A72" s="6">
        <v>54</v>
      </c>
      <c r="B72" s="7"/>
      <c r="C72" s="7"/>
      <c r="D72" s="7"/>
      <c r="E72" s="41"/>
      <c r="F72" s="7"/>
      <c r="G72" s="7"/>
      <c r="H72" s="7"/>
      <c r="I72" s="7"/>
      <c r="J72" s="65"/>
      <c r="K72" s="62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 ht="15.75" customHeight="1">
      <c r="A73" s="6">
        <v>55</v>
      </c>
      <c r="B73" s="7"/>
      <c r="C73" s="7"/>
      <c r="D73" s="7"/>
      <c r="E73" s="41"/>
      <c r="F73" s="7"/>
      <c r="G73" s="7"/>
      <c r="H73" s="7"/>
      <c r="I73" s="7"/>
      <c r="J73" s="65"/>
      <c r="K73" s="62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 ht="15.75" customHeight="1">
      <c r="A74" s="6">
        <v>56</v>
      </c>
      <c r="B74" s="7"/>
      <c r="C74" s="7"/>
      <c r="D74" s="7"/>
      <c r="E74" s="41"/>
      <c r="F74" s="7"/>
      <c r="G74" s="7"/>
      <c r="H74" s="7"/>
      <c r="I74" s="7"/>
      <c r="J74" s="65"/>
      <c r="K74" s="62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 ht="15.75" customHeight="1">
      <c r="A75" s="6">
        <v>57</v>
      </c>
      <c r="B75" s="7"/>
      <c r="C75" s="7"/>
      <c r="D75" s="7"/>
      <c r="E75" s="41"/>
      <c r="F75" s="7"/>
      <c r="G75" s="7"/>
      <c r="H75" s="7"/>
      <c r="I75" s="7"/>
      <c r="J75" s="65"/>
      <c r="K75" s="62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 ht="15.75" customHeight="1">
      <c r="A76" s="6">
        <v>58</v>
      </c>
      <c r="B76" s="7"/>
      <c r="C76" s="7"/>
      <c r="D76" s="7"/>
      <c r="E76" s="7"/>
      <c r="F76" s="7"/>
      <c r="G76" s="7"/>
      <c r="H76" s="7"/>
      <c r="I76" s="7"/>
      <c r="J76" s="65"/>
      <c r="K76" s="62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ht="15.75" customHeight="1">
      <c r="A77" s="6">
        <v>59</v>
      </c>
      <c r="B77" s="7"/>
      <c r="C77" s="7"/>
      <c r="D77" s="7"/>
      <c r="E77" s="7"/>
      <c r="F77" s="7"/>
      <c r="G77" s="7"/>
      <c r="H77" s="7"/>
      <c r="I77" s="7"/>
      <c r="J77" s="65"/>
      <c r="K77" s="62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ht="15.75" customHeight="1">
      <c r="A78" s="6">
        <v>60</v>
      </c>
      <c r="B78" s="7"/>
      <c r="C78" s="7"/>
      <c r="D78" s="7"/>
      <c r="E78" s="41"/>
      <c r="F78" s="7"/>
      <c r="G78" s="7"/>
      <c r="H78" s="7"/>
      <c r="I78" s="7"/>
      <c r="J78" s="65"/>
      <c r="K78" s="62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ht="15.75" customHeight="1">
      <c r="A79" s="6">
        <v>61</v>
      </c>
      <c r="B79" s="7"/>
      <c r="C79" s="7"/>
      <c r="D79" s="7"/>
      <c r="E79" s="41"/>
      <c r="F79" s="7"/>
      <c r="G79" s="7"/>
      <c r="H79" s="7"/>
      <c r="I79" s="7"/>
      <c r="J79" s="7"/>
      <c r="K79" s="62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 ht="15.75" customHeight="1">
      <c r="A80" s="6">
        <v>62</v>
      </c>
      <c r="B80" s="7"/>
      <c r="C80" s="7"/>
      <c r="D80" s="7"/>
      <c r="E80" s="41"/>
      <c r="F80" s="7"/>
      <c r="G80" s="7"/>
      <c r="H80" s="7"/>
      <c r="I80" s="7"/>
      <c r="J80" s="66"/>
      <c r="K80" s="62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 ht="15.75" customHeight="1">
      <c r="A81" s="6">
        <v>63</v>
      </c>
      <c r="B81" s="7"/>
      <c r="C81" s="7"/>
      <c r="D81" s="7"/>
      <c r="E81" s="41"/>
      <c r="F81" s="7"/>
      <c r="G81" s="7"/>
      <c r="H81" s="7"/>
      <c r="I81" s="7"/>
      <c r="J81" s="66"/>
      <c r="K81" s="62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 ht="15.75" customHeight="1">
      <c r="A82" s="6">
        <v>64</v>
      </c>
      <c r="B82" s="7"/>
      <c r="C82" s="7"/>
      <c r="D82" s="7"/>
      <c r="E82" s="41"/>
      <c r="F82" s="7"/>
      <c r="G82" s="7"/>
      <c r="H82" s="7"/>
      <c r="I82" s="7"/>
      <c r="J82" s="7"/>
      <c r="K82" s="62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 ht="15.75" customHeight="1">
      <c r="A83" s="6">
        <v>65</v>
      </c>
      <c r="B83" s="7"/>
      <c r="C83" s="7"/>
      <c r="D83" s="7"/>
      <c r="E83" s="41"/>
      <c r="F83" s="7"/>
      <c r="G83" s="7"/>
      <c r="H83" s="7"/>
      <c r="I83" s="7"/>
      <c r="J83" s="66"/>
      <c r="K83" s="62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 ht="15.75" customHeight="1">
      <c r="A84" s="6">
        <v>66</v>
      </c>
      <c r="B84" s="7"/>
      <c r="C84" s="7"/>
      <c r="D84" s="7"/>
      <c r="E84" s="41"/>
      <c r="F84" s="7"/>
      <c r="G84" s="7"/>
      <c r="H84" s="7"/>
      <c r="I84" s="7"/>
      <c r="J84" s="66"/>
      <c r="K84" s="62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 ht="15.75" customHeight="1">
      <c r="A85" s="6">
        <v>67</v>
      </c>
      <c r="B85" s="7"/>
      <c r="C85" s="7"/>
      <c r="D85" s="7"/>
      <c r="E85" s="41"/>
      <c r="F85" s="7"/>
      <c r="G85" s="7"/>
      <c r="H85" s="7"/>
      <c r="I85" s="7"/>
      <c r="J85" s="7"/>
      <c r="K85" s="62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ht="15.75" customHeight="1">
      <c r="A86" s="6">
        <v>68</v>
      </c>
      <c r="B86" s="7"/>
      <c r="C86" s="7"/>
      <c r="D86" s="7"/>
      <c r="E86" s="41"/>
      <c r="F86" s="7"/>
      <c r="G86" s="7"/>
      <c r="H86" s="7"/>
      <c r="I86" s="7"/>
      <c r="J86" s="7"/>
      <c r="K86" s="62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ht="15.75" customHeight="1">
      <c r="A87" s="6">
        <v>69</v>
      </c>
      <c r="B87" s="7"/>
      <c r="C87" s="7"/>
      <c r="D87" s="7"/>
      <c r="E87" s="41"/>
      <c r="F87" s="7"/>
      <c r="G87" s="7"/>
      <c r="H87" s="7"/>
      <c r="I87" s="7"/>
      <c r="J87" s="66"/>
      <c r="K87" s="62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ht="15.75" customHeight="1">
      <c r="A88" s="6">
        <v>70</v>
      </c>
      <c r="B88" s="7"/>
      <c r="C88" s="7"/>
      <c r="D88" s="7"/>
      <c r="E88" s="41"/>
      <c r="F88" s="7"/>
      <c r="G88" s="7"/>
      <c r="H88" s="7"/>
      <c r="I88" s="7"/>
      <c r="J88" s="7"/>
      <c r="K88" s="62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 ht="15.75" customHeight="1">
      <c r="A89" s="6">
        <v>71</v>
      </c>
      <c r="B89" s="7"/>
      <c r="C89" s="7"/>
      <c r="D89" s="7"/>
      <c r="E89" s="41"/>
      <c r="F89" s="7"/>
      <c r="G89" s="7"/>
      <c r="H89" s="7"/>
      <c r="I89" s="7"/>
      <c r="J89" s="66"/>
      <c r="K89" s="62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 ht="15.75" customHeight="1">
      <c r="A90" s="6">
        <v>72</v>
      </c>
      <c r="B90" s="7"/>
      <c r="C90" s="7"/>
      <c r="D90" s="7"/>
      <c r="E90" s="41"/>
      <c r="F90" s="7"/>
      <c r="G90" s="7"/>
      <c r="H90" s="7"/>
      <c r="I90" s="7"/>
      <c r="J90" s="66"/>
      <c r="K90" s="62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 ht="15.75" customHeight="1">
      <c r="A91" s="6">
        <v>73</v>
      </c>
      <c r="B91" s="7"/>
      <c r="C91" s="7"/>
      <c r="D91" s="7"/>
      <c r="E91" s="41"/>
      <c r="F91" s="7"/>
      <c r="G91" s="7"/>
      <c r="H91" s="7"/>
      <c r="I91" s="7"/>
      <c r="J91" s="67"/>
      <c r="K91" s="62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 ht="15.75" customHeight="1">
      <c r="A92" s="6">
        <v>74</v>
      </c>
      <c r="B92" s="7"/>
      <c r="C92" s="7"/>
      <c r="D92" s="7"/>
      <c r="E92" s="41"/>
      <c r="F92" s="7"/>
      <c r="G92" s="7"/>
      <c r="H92" s="7"/>
      <c r="I92" s="7"/>
      <c r="J92" s="66"/>
      <c r="K92" s="62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 ht="15.75" customHeight="1">
      <c r="A93" s="6">
        <v>75</v>
      </c>
      <c r="B93" s="7"/>
      <c r="C93" s="7"/>
      <c r="D93" s="7"/>
      <c r="E93" s="41"/>
      <c r="F93" s="7"/>
      <c r="G93" s="7"/>
      <c r="H93" s="7"/>
      <c r="I93" s="7"/>
      <c r="J93" s="66"/>
      <c r="K93" s="62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 ht="15.75" customHeight="1">
      <c r="A94" s="6">
        <v>76</v>
      </c>
      <c r="B94" s="7"/>
      <c r="C94" s="7"/>
      <c r="D94" s="7"/>
      <c r="E94" s="56"/>
      <c r="F94" s="7"/>
      <c r="G94" s="7"/>
      <c r="H94" s="7"/>
      <c r="I94" s="7"/>
      <c r="J94" s="67"/>
      <c r="K94" s="62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ht="15.75" customHeight="1">
      <c r="A95" s="6">
        <v>77</v>
      </c>
      <c r="B95" s="7"/>
      <c r="C95" s="7"/>
      <c r="D95" s="7"/>
      <c r="E95" s="56"/>
      <c r="F95" s="7"/>
      <c r="G95" s="7"/>
      <c r="H95" s="7"/>
      <c r="I95" s="7"/>
      <c r="J95" s="66"/>
      <c r="K95" s="62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ht="15.75" customHeight="1">
      <c r="A96" s="6">
        <v>78</v>
      </c>
      <c r="B96" s="7"/>
      <c r="C96" s="7"/>
      <c r="D96" s="7"/>
      <c r="E96" s="41"/>
      <c r="F96" s="50"/>
      <c r="G96" s="50"/>
      <c r="H96" s="7"/>
      <c r="I96" s="7"/>
      <c r="J96" s="7"/>
      <c r="K96" s="62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ht="15.75" customHeight="1">
      <c r="A97" s="6">
        <v>79</v>
      </c>
      <c r="B97" s="7"/>
      <c r="C97" s="7"/>
      <c r="D97" s="7"/>
      <c r="E97" s="41"/>
      <c r="F97" s="50"/>
      <c r="G97" s="50"/>
      <c r="H97" s="50"/>
      <c r="I97" s="7"/>
      <c r="J97" s="7"/>
      <c r="K97" s="62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 ht="15.75" customHeight="1">
      <c r="A98" s="6">
        <v>80</v>
      </c>
      <c r="B98" s="7"/>
      <c r="C98" s="7"/>
      <c r="D98" s="7"/>
      <c r="E98" s="41"/>
      <c r="F98" s="50"/>
      <c r="G98" s="50"/>
      <c r="H98" s="50"/>
      <c r="I98" s="7"/>
      <c r="J98" s="7"/>
      <c r="K98" s="62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 ht="15.75" customHeight="1">
      <c r="A99" s="6">
        <v>81</v>
      </c>
      <c r="B99" s="7"/>
      <c r="C99" s="7"/>
      <c r="D99" s="7"/>
      <c r="E99" s="41"/>
      <c r="F99" s="50"/>
      <c r="G99" s="50"/>
      <c r="H99" s="50"/>
      <c r="I99" s="7"/>
      <c r="J99" s="7"/>
      <c r="K99" s="62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 ht="15.75" customHeight="1">
      <c r="A100" s="6">
        <v>82</v>
      </c>
      <c r="B100" s="7"/>
      <c r="C100" s="7"/>
      <c r="D100" s="7"/>
      <c r="E100" s="41"/>
      <c r="F100" s="50"/>
      <c r="G100" s="50"/>
      <c r="H100" s="50"/>
      <c r="I100" s="7"/>
      <c r="J100" s="7"/>
      <c r="K100" s="62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 ht="15.75" customHeight="1">
      <c r="A101" s="6">
        <v>83</v>
      </c>
      <c r="B101" s="7"/>
      <c r="C101" s="7"/>
      <c r="D101" s="7"/>
      <c r="E101" s="41"/>
      <c r="F101" s="50"/>
      <c r="G101" s="50"/>
      <c r="H101" s="50"/>
      <c r="I101" s="7"/>
      <c r="J101" s="7"/>
      <c r="K101" s="62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 ht="15.75" customHeight="1">
      <c r="A102" s="6">
        <v>84</v>
      </c>
      <c r="B102" s="7"/>
      <c r="C102" s="7"/>
      <c r="D102" s="7"/>
      <c r="E102" s="41"/>
      <c r="F102" s="50"/>
      <c r="G102" s="50"/>
      <c r="H102" s="50"/>
      <c r="I102" s="7"/>
      <c r="J102" s="7"/>
      <c r="K102" s="62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 ht="15.75" customHeight="1">
      <c r="A103" s="6">
        <v>85</v>
      </c>
      <c r="B103" s="7"/>
      <c r="C103" s="7"/>
      <c r="D103" s="7"/>
      <c r="E103" s="41"/>
      <c r="F103" s="50"/>
      <c r="G103" s="50"/>
      <c r="H103" s="50"/>
      <c r="I103" s="7"/>
      <c r="J103" s="7"/>
      <c r="K103" s="62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ht="15.75" customHeight="1">
      <c r="A104" s="6">
        <v>86</v>
      </c>
      <c r="B104" s="7"/>
      <c r="C104" s="50"/>
      <c r="D104" s="7"/>
      <c r="E104" s="41"/>
      <c r="F104" s="50"/>
      <c r="G104" s="50"/>
      <c r="H104" s="50"/>
      <c r="I104" s="7"/>
      <c r="J104" s="7"/>
      <c r="K104" s="62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ht="15.75" customHeight="1">
      <c r="A105" s="6">
        <v>87</v>
      </c>
      <c r="B105" s="7"/>
      <c r="C105" s="50"/>
      <c r="D105" s="7"/>
      <c r="E105" s="41"/>
      <c r="F105" s="50"/>
      <c r="G105" s="50"/>
      <c r="H105" s="50"/>
      <c r="I105" s="7"/>
      <c r="J105" s="7"/>
      <c r="K105" s="62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ht="15.75" customHeight="1">
      <c r="A106" s="6">
        <v>88</v>
      </c>
      <c r="B106" s="7"/>
      <c r="C106" s="7"/>
      <c r="D106" s="7"/>
      <c r="E106" s="41"/>
      <c r="F106" s="50"/>
      <c r="G106" s="50"/>
      <c r="H106" s="50"/>
      <c r="I106" s="7"/>
      <c r="J106" s="7"/>
      <c r="K106" s="62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 ht="15.75" customHeight="1">
      <c r="A107" s="6">
        <v>89</v>
      </c>
      <c r="B107" s="7"/>
      <c r="C107" s="50"/>
      <c r="D107" s="7"/>
      <c r="E107" s="41"/>
      <c r="F107" s="50"/>
      <c r="G107" s="50"/>
      <c r="H107" s="50"/>
      <c r="I107" s="7"/>
      <c r="J107" s="7"/>
      <c r="K107" s="62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 ht="15.75" customHeight="1">
      <c r="A108" s="6">
        <v>90</v>
      </c>
      <c r="B108" s="7"/>
      <c r="C108" s="50"/>
      <c r="D108" s="7"/>
      <c r="E108" s="41"/>
      <c r="F108" s="50"/>
      <c r="G108" s="50"/>
      <c r="H108" s="50"/>
      <c r="I108" s="7"/>
      <c r="J108" s="7"/>
      <c r="K108" s="62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 ht="15.75" customHeight="1">
      <c r="A109" s="6">
        <v>91</v>
      </c>
      <c r="B109" s="7"/>
      <c r="C109" s="50"/>
      <c r="D109" s="7"/>
      <c r="E109" s="41"/>
      <c r="F109" s="50"/>
      <c r="G109" s="50"/>
      <c r="H109" s="50"/>
      <c r="I109" s="7"/>
      <c r="J109" s="7"/>
      <c r="K109" s="62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 ht="15.75" customHeight="1">
      <c r="A110" s="6">
        <v>92</v>
      </c>
      <c r="B110" s="7"/>
      <c r="C110" s="7"/>
      <c r="D110" s="7"/>
      <c r="E110" s="41"/>
      <c r="F110" s="50"/>
      <c r="G110" s="50"/>
      <c r="H110" s="50"/>
      <c r="I110" s="7"/>
      <c r="J110" s="7"/>
      <c r="K110" s="62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 ht="15.75" customHeight="1">
      <c r="A111" s="6">
        <v>93</v>
      </c>
      <c r="B111" s="7"/>
      <c r="C111" s="50"/>
      <c r="D111" s="7"/>
      <c r="E111" s="41"/>
      <c r="F111" s="50"/>
      <c r="G111" s="50"/>
      <c r="H111" s="50"/>
      <c r="I111" s="7"/>
      <c r="J111" s="7"/>
      <c r="K111" s="62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 ht="15.75" customHeight="1">
      <c r="A112" s="6">
        <v>94</v>
      </c>
      <c r="B112" s="7"/>
      <c r="C112" s="7"/>
      <c r="D112" s="7"/>
      <c r="E112" s="41"/>
      <c r="F112" s="50"/>
      <c r="G112" s="50"/>
      <c r="H112" s="50"/>
      <c r="I112" s="7"/>
      <c r="J112" s="7"/>
      <c r="K112" s="62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ht="15.75" customHeight="1">
      <c r="A113" s="6">
        <v>95</v>
      </c>
      <c r="B113" s="50"/>
      <c r="C113" s="50"/>
      <c r="D113" s="50"/>
      <c r="E113" s="41"/>
      <c r="F113" s="50"/>
      <c r="G113" s="50"/>
      <c r="H113" s="50"/>
      <c r="I113" s="50"/>
      <c r="J113" s="7"/>
      <c r="K113" s="62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ht="15.75" customHeight="1">
      <c r="A114" s="6">
        <v>96</v>
      </c>
      <c r="B114" s="50"/>
      <c r="C114" s="50"/>
      <c r="D114" s="50"/>
      <c r="E114" s="50"/>
      <c r="F114" s="50"/>
      <c r="G114" s="50"/>
      <c r="H114" s="50"/>
      <c r="I114" s="50"/>
      <c r="J114" s="7"/>
      <c r="K114" s="62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ht="15.75" customHeight="1">
      <c r="A115" s="6">
        <v>97</v>
      </c>
      <c r="B115" s="50"/>
      <c r="C115" s="50"/>
      <c r="D115" s="50"/>
      <c r="E115" s="41"/>
      <c r="F115" s="50"/>
      <c r="G115" s="50"/>
      <c r="H115" s="50"/>
      <c r="I115" s="7"/>
      <c r="J115" s="7"/>
      <c r="K115" s="62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 ht="15.75" customHeight="1">
      <c r="A116" s="6">
        <v>98</v>
      </c>
      <c r="B116" s="7"/>
      <c r="C116" s="50"/>
      <c r="D116" s="50"/>
      <c r="E116" s="41"/>
      <c r="F116" s="50"/>
      <c r="G116" s="50"/>
      <c r="H116" s="50"/>
      <c r="I116" s="7"/>
      <c r="J116" s="7"/>
      <c r="K116" s="62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 ht="15.75" customHeight="1">
      <c r="A117" s="6">
        <v>99</v>
      </c>
      <c r="B117" s="7"/>
      <c r="C117" s="7"/>
      <c r="D117" s="7"/>
      <c r="E117" s="41"/>
      <c r="F117" s="7"/>
      <c r="G117" s="7"/>
      <c r="H117" s="7"/>
      <c r="I117" s="7"/>
      <c r="J117" s="7"/>
      <c r="K117" s="62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 ht="15.75" customHeight="1">
      <c r="A118" s="6">
        <v>100</v>
      </c>
      <c r="B118" s="7"/>
      <c r="C118" s="7"/>
      <c r="D118" s="7"/>
      <c r="E118" s="7"/>
      <c r="F118" s="7"/>
      <c r="G118" s="7"/>
      <c r="H118" s="7"/>
      <c r="I118" s="7"/>
      <c r="J118" s="7"/>
      <c r="K118" s="62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 ht="15.75" customHeight="1">
      <c r="A119" s="6">
        <v>101</v>
      </c>
      <c r="B119" s="7"/>
      <c r="C119" s="7"/>
      <c r="D119" s="7"/>
      <c r="E119" s="41"/>
      <c r="F119" s="7"/>
      <c r="G119" s="7"/>
      <c r="H119" s="7"/>
      <c r="I119" s="7"/>
      <c r="J119" s="7"/>
      <c r="K119" s="62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 ht="15.75" customHeight="1">
      <c r="A120" s="6">
        <v>102</v>
      </c>
      <c r="B120" s="7"/>
      <c r="C120" s="7"/>
      <c r="D120" s="7"/>
      <c r="E120" s="41"/>
      <c r="F120" s="7"/>
      <c r="G120" s="7"/>
      <c r="H120" s="7"/>
      <c r="I120" s="7"/>
      <c r="J120" s="7"/>
      <c r="K120" s="62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 ht="15.75" customHeight="1">
      <c r="A121" s="6">
        <v>103</v>
      </c>
      <c r="B121" s="7"/>
      <c r="C121" s="7"/>
      <c r="D121" s="7"/>
      <c r="E121" s="41"/>
      <c r="F121" s="7"/>
      <c r="G121" s="7"/>
      <c r="H121" s="7"/>
      <c r="I121" s="7"/>
      <c r="J121" s="7"/>
      <c r="K121" s="62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ht="15.75" customHeight="1">
      <c r="A122" s="6">
        <v>104</v>
      </c>
      <c r="B122" s="7"/>
      <c r="C122" s="7"/>
      <c r="D122" s="7"/>
      <c r="E122" s="41"/>
      <c r="F122" s="7"/>
      <c r="G122" s="7"/>
      <c r="H122" s="7"/>
      <c r="I122" s="7"/>
      <c r="J122" s="7"/>
      <c r="K122" s="62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ht="15.75" customHeight="1">
      <c r="A123" s="6">
        <v>105</v>
      </c>
      <c r="B123" s="7"/>
      <c r="C123" s="7"/>
      <c r="D123" s="7"/>
      <c r="E123" s="41"/>
      <c r="F123" s="7"/>
      <c r="G123" s="7"/>
      <c r="H123" s="7"/>
      <c r="I123" s="7"/>
      <c r="J123" s="7"/>
      <c r="K123" s="62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ht="15.75" customHeight="1">
      <c r="A124" s="6">
        <v>106</v>
      </c>
      <c r="B124" s="7"/>
      <c r="C124" s="7"/>
      <c r="D124" s="7"/>
      <c r="E124" s="41"/>
      <c r="F124" s="7"/>
      <c r="G124" s="7"/>
      <c r="H124" s="7"/>
      <c r="I124" s="7"/>
      <c r="J124" s="7"/>
      <c r="K124" s="62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 ht="15.75" customHeight="1">
      <c r="A125" s="6">
        <v>107</v>
      </c>
      <c r="B125" s="7"/>
      <c r="C125" s="7"/>
      <c r="D125" s="7"/>
      <c r="E125" s="41"/>
      <c r="F125" s="7"/>
      <c r="G125" s="7"/>
      <c r="H125" s="7"/>
      <c r="I125" s="7"/>
      <c r="J125" s="7"/>
      <c r="K125" s="62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 ht="15.75" customHeight="1">
      <c r="A126" s="6">
        <v>108</v>
      </c>
      <c r="B126" s="7"/>
      <c r="C126" s="7"/>
      <c r="D126" s="7"/>
      <c r="E126" s="41"/>
      <c r="F126" s="7"/>
      <c r="G126" s="7"/>
      <c r="H126" s="7"/>
      <c r="I126" s="7"/>
      <c r="J126" s="7"/>
      <c r="K126" s="62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 ht="15.75" customHeight="1">
      <c r="A127" s="6">
        <v>109</v>
      </c>
      <c r="B127" s="7"/>
      <c r="C127" s="7"/>
      <c r="D127" s="7"/>
      <c r="E127" s="41"/>
      <c r="F127" s="7"/>
      <c r="G127" s="7"/>
      <c r="H127" s="7"/>
      <c r="I127" s="7"/>
      <c r="J127" s="7"/>
      <c r="K127" s="62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 ht="15.75" customHeight="1">
      <c r="A128" s="6">
        <v>110</v>
      </c>
      <c r="B128" s="7"/>
      <c r="C128" s="7"/>
      <c r="D128" s="7"/>
      <c r="E128" s="41"/>
      <c r="F128" s="7"/>
      <c r="G128" s="7"/>
      <c r="H128" s="7"/>
      <c r="I128" s="7"/>
      <c r="J128" s="7"/>
      <c r="K128" s="62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 ht="15.75" customHeight="1">
      <c r="A129" s="6">
        <v>111</v>
      </c>
      <c r="B129" s="7"/>
      <c r="C129" s="7"/>
      <c r="D129" s="7"/>
      <c r="E129" s="41"/>
      <c r="F129" s="7"/>
      <c r="G129" s="7"/>
      <c r="H129" s="7"/>
      <c r="I129" s="7"/>
      <c r="J129" s="7"/>
      <c r="K129" s="62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 ht="15.75" customHeight="1">
      <c r="A130" s="6">
        <v>112</v>
      </c>
      <c r="B130" s="7"/>
      <c r="C130" s="7"/>
      <c r="D130" s="7"/>
      <c r="E130" s="41"/>
      <c r="F130" s="7"/>
      <c r="G130" s="7"/>
      <c r="H130" s="7"/>
      <c r="I130" s="7"/>
      <c r="J130" s="7"/>
      <c r="K130" s="62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 ht="15.75" customHeight="1">
      <c r="A131" s="6">
        <v>113</v>
      </c>
      <c r="B131" s="7"/>
      <c r="C131" s="7"/>
      <c r="D131" s="7"/>
      <c r="E131" s="41"/>
      <c r="F131" s="7"/>
      <c r="G131" s="7"/>
      <c r="H131" s="7"/>
      <c r="I131" s="7"/>
      <c r="J131" s="7"/>
      <c r="K131" s="62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 ht="15.75" customHeight="1">
      <c r="A132" s="6">
        <v>114</v>
      </c>
      <c r="B132" s="7"/>
      <c r="C132" s="7"/>
      <c r="D132" s="7"/>
      <c r="E132" s="41"/>
      <c r="F132" s="7"/>
      <c r="G132" s="7"/>
      <c r="H132" s="7"/>
      <c r="I132" s="7"/>
      <c r="J132" s="7"/>
      <c r="K132" s="62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 ht="15.75" customHeight="1">
      <c r="A133" s="6">
        <v>115</v>
      </c>
      <c r="B133" s="7"/>
      <c r="C133" s="7"/>
      <c r="D133" s="7"/>
      <c r="E133" s="41"/>
      <c r="F133" s="7"/>
      <c r="G133" s="7"/>
      <c r="H133" s="7"/>
      <c r="I133" s="7"/>
      <c r="J133" s="7"/>
      <c r="K133" s="62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 ht="15.75" customHeight="1">
      <c r="A134" s="6">
        <v>116</v>
      </c>
      <c r="B134" s="7"/>
      <c r="C134" s="7"/>
      <c r="D134" s="7"/>
      <c r="E134" s="41"/>
      <c r="F134" s="7"/>
      <c r="G134" s="7"/>
      <c r="H134" s="7"/>
      <c r="I134" s="7"/>
      <c r="J134" s="7"/>
      <c r="K134" s="62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 ht="15.75" customHeight="1">
      <c r="A135" s="6">
        <v>117</v>
      </c>
      <c r="B135" s="7"/>
      <c r="C135" s="7"/>
      <c r="D135" s="7"/>
      <c r="E135" s="41"/>
      <c r="F135" s="7"/>
      <c r="G135" s="7"/>
      <c r="H135" s="7"/>
      <c r="I135" s="7"/>
      <c r="J135" s="7"/>
      <c r="K135" s="62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 ht="15.75" customHeight="1">
      <c r="A136" s="6">
        <v>118</v>
      </c>
      <c r="B136" s="7"/>
      <c r="C136" s="7"/>
      <c r="D136" s="7"/>
      <c r="E136" s="41"/>
      <c r="F136" s="7"/>
      <c r="G136" s="7"/>
      <c r="H136" s="7"/>
      <c r="I136" s="7"/>
      <c r="J136" s="7"/>
      <c r="K136" s="62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 ht="15.75" customHeight="1">
      <c r="A137" s="6">
        <v>119</v>
      </c>
      <c r="B137" s="7"/>
      <c r="C137" s="7"/>
      <c r="D137" s="7"/>
      <c r="E137" s="41"/>
      <c r="F137" s="7"/>
      <c r="G137" s="7"/>
      <c r="H137" s="7"/>
      <c r="I137" s="7"/>
      <c r="J137" s="7"/>
      <c r="K137" s="62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 ht="15.75" customHeight="1">
      <c r="A138" s="6">
        <v>120</v>
      </c>
      <c r="B138" s="7"/>
      <c r="C138" s="7"/>
      <c r="D138" s="7"/>
      <c r="E138" s="41"/>
      <c r="F138" s="7"/>
      <c r="G138" s="7"/>
      <c r="H138" s="7"/>
      <c r="I138" s="7"/>
      <c r="J138" s="7"/>
      <c r="K138" s="62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 ht="15.75" customHeight="1">
      <c r="A139" s="6">
        <v>121</v>
      </c>
      <c r="B139" s="7"/>
      <c r="C139" s="7"/>
      <c r="D139" s="7"/>
      <c r="E139" s="7"/>
      <c r="F139" s="7"/>
      <c r="G139" s="7"/>
      <c r="H139" s="7"/>
      <c r="I139" s="7"/>
      <c r="J139" s="7"/>
      <c r="K139" s="62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 ht="15.75" customHeight="1">
      <c r="A140" s="6">
        <v>122</v>
      </c>
      <c r="B140" s="7"/>
      <c r="C140" s="7"/>
      <c r="D140" s="7"/>
      <c r="E140" s="41"/>
      <c r="F140" s="7"/>
      <c r="G140" s="7"/>
      <c r="H140" s="7"/>
      <c r="I140" s="7"/>
      <c r="J140" s="7"/>
      <c r="K140" s="62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 ht="15.75" customHeight="1">
      <c r="A141" s="6">
        <v>123</v>
      </c>
      <c r="B141" s="7"/>
      <c r="C141" s="7"/>
      <c r="D141" s="7"/>
      <c r="E141" s="41"/>
      <c r="F141" s="7"/>
      <c r="G141" s="7"/>
      <c r="H141" s="7"/>
      <c r="I141" s="7"/>
      <c r="J141" s="7"/>
      <c r="K141" s="62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 ht="15.75" customHeight="1">
      <c r="A142" s="6">
        <v>124</v>
      </c>
      <c r="B142" s="7"/>
      <c r="C142" s="7"/>
      <c r="D142" s="7"/>
      <c r="E142" s="7"/>
      <c r="F142" s="7"/>
      <c r="G142" s="7"/>
      <c r="H142" s="7"/>
      <c r="I142" s="7"/>
      <c r="J142" s="7"/>
      <c r="K142" s="62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 ht="15.75" customHeight="1">
      <c r="A143" s="6">
        <v>125</v>
      </c>
      <c r="B143" s="7"/>
      <c r="C143" s="7"/>
      <c r="D143" s="7"/>
      <c r="E143" s="7"/>
      <c r="F143" s="7"/>
      <c r="G143" s="7"/>
      <c r="H143" s="7"/>
      <c r="I143" s="7"/>
      <c r="J143" s="7"/>
      <c r="K143" s="62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 ht="15.75" customHeight="1">
      <c r="A144" s="6">
        <v>126</v>
      </c>
      <c r="B144" s="7"/>
      <c r="C144" s="7"/>
      <c r="D144" s="7"/>
      <c r="E144" s="7"/>
      <c r="F144" s="7"/>
      <c r="G144" s="7"/>
      <c r="H144" s="7"/>
      <c r="I144" s="7"/>
      <c r="J144" s="7"/>
      <c r="K144" s="62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 ht="15.75" customHeight="1">
      <c r="A145" s="6">
        <v>127</v>
      </c>
      <c r="B145" s="7"/>
      <c r="C145" s="7"/>
      <c r="D145" s="7"/>
      <c r="E145" s="7"/>
      <c r="F145" s="7"/>
      <c r="G145" s="7"/>
      <c r="H145" s="7"/>
      <c r="I145" s="7"/>
      <c r="J145" s="7"/>
      <c r="K145" s="62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 ht="15.75" customHeight="1">
      <c r="A146" s="6">
        <v>128</v>
      </c>
      <c r="B146" s="7"/>
      <c r="C146" s="7"/>
      <c r="D146" s="7"/>
      <c r="E146" s="7"/>
      <c r="F146" s="7"/>
      <c r="G146" s="7"/>
      <c r="H146" s="7"/>
      <c r="I146" s="7"/>
      <c r="J146" s="7"/>
      <c r="K146" s="62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 ht="15.75" customHeight="1">
      <c r="A147" s="6">
        <v>129</v>
      </c>
      <c r="B147" s="7"/>
      <c r="C147" s="7"/>
      <c r="D147" s="7"/>
      <c r="E147" s="7"/>
      <c r="F147" s="7"/>
      <c r="G147" s="7"/>
      <c r="H147" s="7"/>
      <c r="I147" s="7"/>
      <c r="J147" s="7"/>
      <c r="K147" s="62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 ht="15.75" customHeight="1">
      <c r="A148" s="6">
        <v>130</v>
      </c>
      <c r="B148" s="7"/>
      <c r="C148" s="7"/>
      <c r="D148" s="7"/>
      <c r="E148" s="7"/>
      <c r="F148" s="7"/>
      <c r="G148" s="7"/>
      <c r="H148" s="7"/>
      <c r="I148" s="7"/>
      <c r="J148" s="7"/>
      <c r="K148" s="62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 ht="15.75" customHeight="1">
      <c r="A149" s="6">
        <v>131</v>
      </c>
      <c r="B149" s="7"/>
      <c r="C149" s="7"/>
      <c r="D149" s="7"/>
      <c r="E149" s="7"/>
      <c r="F149" s="7"/>
      <c r="G149" s="7"/>
      <c r="H149" s="7"/>
      <c r="I149" s="7"/>
      <c r="J149" s="7"/>
      <c r="K149" s="62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 ht="15.75" customHeight="1">
      <c r="A150" s="6">
        <v>132</v>
      </c>
      <c r="B150" s="7"/>
      <c r="C150" s="7"/>
      <c r="D150" s="7"/>
      <c r="E150" s="7"/>
      <c r="F150" s="7"/>
      <c r="G150" s="7"/>
      <c r="H150" s="7"/>
      <c r="I150" s="7"/>
      <c r="J150" s="7"/>
      <c r="K150" s="62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 ht="15.75" customHeight="1">
      <c r="A151" s="6">
        <v>133</v>
      </c>
      <c r="B151" s="7"/>
      <c r="C151" s="7"/>
      <c r="D151" s="7"/>
      <c r="E151" s="7"/>
      <c r="F151" s="7"/>
      <c r="G151" s="7"/>
      <c r="H151" s="7"/>
      <c r="I151" s="7"/>
      <c r="J151" s="7"/>
      <c r="K151" s="62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 ht="15.75" customHeight="1">
      <c r="A152" s="6">
        <v>134</v>
      </c>
      <c r="B152" s="7"/>
      <c r="C152" s="7"/>
      <c r="D152" s="7"/>
      <c r="E152" s="7"/>
      <c r="F152" s="7"/>
      <c r="G152" s="7"/>
      <c r="H152" s="7"/>
      <c r="I152" s="7"/>
      <c r="J152" s="7"/>
      <c r="K152" s="62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 ht="15.75" customHeight="1">
      <c r="A153" s="6">
        <v>135</v>
      </c>
      <c r="B153" s="7"/>
      <c r="C153" s="7"/>
      <c r="D153" s="7"/>
      <c r="E153" s="7"/>
      <c r="F153" s="7"/>
      <c r="G153" s="7"/>
      <c r="H153" s="7"/>
      <c r="I153" s="7"/>
      <c r="J153" s="7"/>
      <c r="K153" s="62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 ht="15.75" customHeight="1">
      <c r="A154" s="6">
        <v>136</v>
      </c>
      <c r="B154" s="7"/>
      <c r="C154" s="7"/>
      <c r="D154" s="7"/>
      <c r="E154" s="7"/>
      <c r="F154" s="7"/>
      <c r="G154" s="7"/>
      <c r="H154" s="7"/>
      <c r="I154" s="7"/>
      <c r="J154" s="7"/>
      <c r="K154" s="62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 ht="15.75" customHeight="1">
      <c r="A155" s="6">
        <v>137</v>
      </c>
      <c r="B155" s="7"/>
      <c r="C155" s="7"/>
      <c r="D155" s="7"/>
      <c r="E155" s="7"/>
      <c r="F155" s="7"/>
      <c r="G155" s="7"/>
      <c r="H155" s="7"/>
      <c r="I155" s="7"/>
      <c r="J155" s="7"/>
      <c r="K155" s="62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 ht="15.75" customHeight="1">
      <c r="A156" s="6">
        <v>138</v>
      </c>
      <c r="B156" s="7"/>
      <c r="C156" s="7"/>
      <c r="D156" s="7"/>
      <c r="E156" s="7"/>
      <c r="F156" s="7"/>
      <c r="G156" s="7"/>
      <c r="H156" s="7"/>
      <c r="I156" s="7"/>
      <c r="J156" s="7"/>
      <c r="K156" s="62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 ht="15.75" customHeight="1">
      <c r="A157" s="6">
        <v>139</v>
      </c>
      <c r="B157" s="7"/>
      <c r="C157" s="7"/>
      <c r="D157" s="7"/>
      <c r="E157" s="7"/>
      <c r="F157" s="7"/>
      <c r="G157" s="7"/>
      <c r="H157" s="7"/>
      <c r="I157" s="7"/>
      <c r="J157" s="7"/>
      <c r="K157" s="62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 ht="15.75" customHeight="1">
      <c r="A158" s="6">
        <v>140</v>
      </c>
      <c r="B158" s="7"/>
      <c r="C158" s="7"/>
      <c r="D158" s="7"/>
      <c r="E158" s="7"/>
      <c r="F158" s="7"/>
      <c r="G158" s="7"/>
      <c r="H158" s="7"/>
      <c r="I158" s="7"/>
      <c r="J158" s="7"/>
      <c r="K158" s="62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 ht="15.75" customHeight="1">
      <c r="A159" s="6">
        <v>141</v>
      </c>
      <c r="B159" s="7"/>
      <c r="C159" s="7"/>
      <c r="D159" s="7"/>
      <c r="E159" s="7"/>
      <c r="F159" s="7"/>
      <c r="G159" s="7"/>
      <c r="H159" s="7"/>
      <c r="I159" s="7"/>
      <c r="J159" s="7"/>
      <c r="K159" s="62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 ht="15.75" customHeight="1">
      <c r="A160" s="6">
        <v>142</v>
      </c>
      <c r="B160" s="7"/>
      <c r="C160" s="7"/>
      <c r="D160" s="7"/>
      <c r="E160" s="7"/>
      <c r="F160" s="7"/>
      <c r="G160" s="7"/>
      <c r="H160" s="7"/>
      <c r="I160" s="7"/>
      <c r="J160" s="7"/>
      <c r="K160" s="62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 ht="15.75" customHeight="1">
      <c r="A161" s="6">
        <v>143</v>
      </c>
      <c r="B161" s="7"/>
      <c r="C161" s="7"/>
      <c r="D161" s="7"/>
      <c r="E161" s="7"/>
      <c r="F161" s="7"/>
      <c r="G161" s="7"/>
      <c r="H161" s="7"/>
      <c r="I161" s="7"/>
      <c r="J161" s="7"/>
      <c r="K161" s="62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 ht="15.75" customHeight="1">
      <c r="A162" s="6">
        <v>144</v>
      </c>
      <c r="B162" s="7"/>
      <c r="C162" s="7"/>
      <c r="D162" s="7"/>
      <c r="E162" s="7"/>
      <c r="F162" s="7"/>
      <c r="G162" s="7"/>
      <c r="H162" s="7"/>
      <c r="I162" s="7"/>
      <c r="J162" s="7"/>
      <c r="K162" s="62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1:25" ht="15.75" customHeight="1">
      <c r="A163" s="6">
        <v>145</v>
      </c>
      <c r="B163" s="7"/>
      <c r="C163" s="7"/>
      <c r="D163" s="7"/>
      <c r="E163" s="7"/>
      <c r="F163" s="7"/>
      <c r="G163" s="7"/>
      <c r="H163" s="7"/>
      <c r="I163" s="7"/>
      <c r="J163" s="7"/>
      <c r="K163" s="62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 ht="15.75" customHeight="1">
      <c r="A164" s="6">
        <v>146</v>
      </c>
      <c r="B164" s="7"/>
      <c r="C164" s="7"/>
      <c r="D164" s="7"/>
      <c r="E164" s="7"/>
      <c r="F164" s="7"/>
      <c r="G164" s="7"/>
      <c r="H164" s="7"/>
      <c r="I164" s="7"/>
      <c r="J164" s="7"/>
      <c r="K164" s="62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 ht="15.75" customHeight="1">
      <c r="A165" s="6">
        <v>147</v>
      </c>
      <c r="B165" s="7"/>
      <c r="C165" s="7"/>
      <c r="D165" s="7"/>
      <c r="E165" s="7"/>
      <c r="F165" s="7"/>
      <c r="G165" s="7"/>
      <c r="H165" s="7"/>
      <c r="I165" s="7"/>
      <c r="J165" s="7"/>
      <c r="K165" s="62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 ht="15.75" customHeight="1">
      <c r="A166" s="6">
        <v>148</v>
      </c>
      <c r="B166" s="7"/>
      <c r="C166" s="7"/>
      <c r="D166" s="7"/>
      <c r="E166" s="7"/>
      <c r="F166" s="7"/>
      <c r="G166" s="7"/>
      <c r="H166" s="7"/>
      <c r="I166" s="7"/>
      <c r="J166" s="7"/>
      <c r="K166" s="62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 ht="15.75" customHeight="1">
      <c r="A167" s="6">
        <v>149</v>
      </c>
      <c r="B167" s="7"/>
      <c r="C167" s="7"/>
      <c r="D167" s="7"/>
      <c r="E167" s="7"/>
      <c r="F167" s="7"/>
      <c r="G167" s="7"/>
      <c r="H167" s="7"/>
      <c r="I167" s="7"/>
      <c r="J167" s="7"/>
      <c r="K167" s="62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 ht="15.75" customHeight="1">
      <c r="A168" s="6">
        <v>150</v>
      </c>
      <c r="B168" s="7"/>
      <c r="C168" s="7"/>
      <c r="D168" s="7"/>
      <c r="E168" s="7"/>
      <c r="F168" s="7"/>
      <c r="G168" s="7"/>
      <c r="H168" s="7"/>
      <c r="I168" s="7"/>
      <c r="J168" s="7"/>
      <c r="K168" s="62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 ht="15.75" customHeight="1">
      <c r="A169" s="6"/>
      <c r="B169" s="7"/>
      <c r="C169" s="7"/>
      <c r="D169" s="7"/>
      <c r="E169" s="7"/>
      <c r="F169" s="7"/>
      <c r="G169" s="7"/>
      <c r="H169" s="7"/>
      <c r="I169" s="7"/>
      <c r="J169" s="7"/>
      <c r="K169" s="62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 ht="15.75" customHeight="1">
      <c r="A170" s="6"/>
      <c r="B170" s="7"/>
      <c r="C170" s="7"/>
      <c r="D170" s="7"/>
      <c r="E170" s="7"/>
      <c r="F170" s="7"/>
      <c r="G170" s="7"/>
      <c r="H170" s="7"/>
      <c r="I170" s="7"/>
      <c r="J170" s="7"/>
      <c r="K170" s="62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 ht="15.75" customHeight="1">
      <c r="A171" s="6"/>
      <c r="B171" s="7"/>
      <c r="C171" s="7"/>
      <c r="D171" s="7"/>
      <c r="E171" s="7"/>
      <c r="F171" s="7"/>
      <c r="G171" s="7"/>
      <c r="H171" s="7"/>
      <c r="I171" s="7"/>
      <c r="J171" s="7"/>
      <c r="K171" s="62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62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62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62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62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62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62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62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62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62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62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62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62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62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62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62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62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62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62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62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62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62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62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62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62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62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62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62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62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62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62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62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62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62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62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62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62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62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62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62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62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62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62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62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62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62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62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62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62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62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spans="1:25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62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spans="1:25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62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1:25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62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1:25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62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spans="1: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62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spans="1:25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62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spans="1:25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62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spans="1:25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62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spans="1:25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62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1:25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62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spans="1:25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62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1:25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62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spans="1:25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62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spans="1:25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62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spans="1:2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62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spans="1:25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62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spans="1:25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62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1:25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62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1:25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62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1:25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62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spans="1:25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62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spans="1:25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62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spans="1:25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62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1:25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62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1:2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62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1:25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62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spans="1:25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62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spans="1:25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62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1:25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62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1:25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62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spans="1:25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62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1:25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62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spans="1:25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62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spans="1:25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62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spans="1:2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62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1:25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62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spans="1:25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62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5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62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spans="1:25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62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spans="1:25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62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spans="1:25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62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spans="1:25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62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spans="1:25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62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spans="1:25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62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spans="1:2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62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spans="1:25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62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spans="1:25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62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spans="1:25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62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spans="1:25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62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spans="1:25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62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spans="1:25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62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spans="1:25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62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spans="1:25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62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spans="1:25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62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spans="1:2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62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spans="1:25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62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spans="1:25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62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spans="1:25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62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spans="1:25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62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spans="1:25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62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spans="1:25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62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spans="1:25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62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spans="1:25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62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spans="1:25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62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spans="1:2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62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spans="1:25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62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spans="1:25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62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spans="1:25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62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spans="1:25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62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spans="1:25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62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spans="1:25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62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spans="1:25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62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spans="1:25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62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spans="1:25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62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spans="1:2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62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spans="1:25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62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spans="1:25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62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spans="1:25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62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spans="1:25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62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spans="1:25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62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spans="1:25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62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spans="1:25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62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spans="1:25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62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spans="1:25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62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spans="1:2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62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spans="1:25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62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spans="1:25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62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spans="1:25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62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spans="1:25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62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spans="1:25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62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spans="1:25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62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spans="1:25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62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spans="1:25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62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spans="1:25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62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spans="1:2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62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spans="1:25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62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spans="1:25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62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spans="1:25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62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spans="1:25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62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spans="1:25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62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spans="1:25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62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spans="1:25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62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spans="1:25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62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spans="1:25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62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spans="1: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62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spans="1:25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62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spans="1:25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62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spans="1:25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62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spans="1:25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62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spans="1:25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62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spans="1:25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62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spans="1:25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62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spans="1:25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62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spans="1:25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62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spans="1:2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62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spans="1:25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62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spans="1:25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62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spans="1:25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62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spans="1:25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62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spans="1:25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62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spans="1:25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62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spans="1:25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62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spans="1:25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62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spans="1:25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62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spans="1:2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62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spans="1:25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62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spans="1:25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62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spans="1:25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62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spans="1:25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62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spans="1:25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62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spans="1:25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62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spans="1:25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62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spans="1:25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62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spans="1:25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62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spans="1:2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62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spans="1:25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62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spans="1:25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62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spans="1:25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62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spans="1:25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62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spans="1:25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62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spans="1:25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62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spans="1:25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62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spans="1:25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62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spans="1:25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62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spans="1:2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62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spans="1:25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62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spans="1:25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62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spans="1:25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62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7:D17"/>
    <mergeCell ref="E17:I17"/>
    <mergeCell ref="A1:I2"/>
    <mergeCell ref="A3:I3"/>
    <mergeCell ref="A4:E4"/>
    <mergeCell ref="F4:I4"/>
    <mergeCell ref="A16:I16"/>
  </mergeCells>
  <dataValidations count="4">
    <dataValidation type="list" allowBlank="1" showErrorMessage="1" sqref="H44 H53 H56 H61 H91 H96 H121" xr:uid="{00000000-0002-0000-0900-000000000000}">
      <formula1>"Pending,Sent,Followed Up,Responded,Bounced"</formula1>
    </dataValidation>
    <dataValidation type="list" allowBlank="1" showErrorMessage="1" sqref="H72" xr:uid="{00000000-0002-0000-0900-000001000000}">
      <formula1>"Pending,Sent,Followed Up,Responded,OOO"</formula1>
    </dataValidation>
    <dataValidation type="list" allowBlank="1" showErrorMessage="1" sqref="H19:H43 H45:H52 H54:H55 H57:H60 H62:H71 H73:H90 H92:H95 H101:H120 H126:H168" xr:uid="{00000000-0002-0000-0900-000002000000}">
      <formula1>"Pending,Sent,Followed Up,Responded,Completed"</formula1>
    </dataValidation>
    <dataValidation type="list" allowBlank="1" showErrorMessage="1" sqref="H97:H100 H122:H125" xr:uid="{00000000-0002-0000-0900-000003000000}">
      <formula1>"Pending,Sent,Followed Up,Responded"</formula1>
    </dataValidation>
  </dataValidations>
  <hyperlinks>
    <hyperlink ref="A1" location="OVERVIEW!A1" display="Evercore Application Tracker" xr:uid="{00000000-0004-0000-0900-00000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B9EB8-4F7C-4633-A65E-1F30B240F8E8}">
  <sheetPr>
    <outlinePr summaryBelow="0" summaryRight="0"/>
  </sheetPr>
  <dimension ref="A1:Y1000"/>
  <sheetViews>
    <sheetView workbookViewId="0">
      <pane ySplit="2" topLeftCell="A3" activePane="bottomLeft" state="frozen"/>
      <selection pane="bottomLeft" activeCell="B26" sqref="B26"/>
    </sheetView>
  </sheetViews>
  <sheetFormatPr defaultColWidth="12.6328125" defaultRowHeight="15" customHeight="1"/>
  <cols>
    <col min="1" max="1" width="3.90625" customWidth="1"/>
    <col min="2" max="2" width="23.36328125" customWidth="1"/>
    <col min="3" max="3" width="29.26953125" customWidth="1"/>
    <col min="4" max="4" width="14.90625" customWidth="1"/>
    <col min="5" max="6" width="14" customWidth="1"/>
    <col min="7" max="8" width="12.26953125" customWidth="1"/>
    <col min="9" max="9" width="50.90625" customWidth="1"/>
  </cols>
  <sheetData>
    <row r="1" spans="1:25" ht="24.75" customHeight="1">
      <c r="A1" s="115" t="s">
        <v>753</v>
      </c>
      <c r="B1" s="72"/>
      <c r="C1" s="72"/>
      <c r="D1" s="72"/>
      <c r="E1" s="72"/>
      <c r="F1" s="72"/>
      <c r="G1" s="72"/>
      <c r="H1" s="72"/>
      <c r="I1" s="72"/>
      <c r="J1" s="7"/>
      <c r="K1" s="62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15.75" customHeight="1">
      <c r="A2" s="72"/>
      <c r="B2" s="72"/>
      <c r="C2" s="72"/>
      <c r="D2" s="72"/>
      <c r="E2" s="72"/>
      <c r="F2" s="72"/>
      <c r="G2" s="72"/>
      <c r="H2" s="72"/>
      <c r="I2" s="72"/>
      <c r="J2" s="7"/>
      <c r="K2" s="62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10.5" customHeight="1">
      <c r="A3" s="97"/>
      <c r="B3" s="72"/>
      <c r="C3" s="72"/>
      <c r="D3" s="72"/>
      <c r="E3" s="72"/>
      <c r="F3" s="72"/>
      <c r="G3" s="72"/>
      <c r="H3" s="72"/>
      <c r="I3" s="72"/>
      <c r="J3" s="7"/>
      <c r="K3" s="62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15.75" customHeight="1">
      <c r="A4" s="99" t="s">
        <v>564</v>
      </c>
      <c r="B4" s="72"/>
      <c r="C4" s="72"/>
      <c r="D4" s="72"/>
      <c r="E4" s="72"/>
      <c r="F4" s="100" t="s">
        <v>566</v>
      </c>
      <c r="G4" s="72"/>
      <c r="H4" s="72"/>
      <c r="I4" s="72"/>
      <c r="J4" s="63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5.75" customHeight="1">
      <c r="A5" s="51" t="s">
        <v>6</v>
      </c>
      <c r="B5" s="52" t="s">
        <v>567</v>
      </c>
      <c r="C5" s="52" t="s">
        <v>568</v>
      </c>
      <c r="D5" s="52" t="s">
        <v>569</v>
      </c>
      <c r="E5" s="52" t="s">
        <v>571</v>
      </c>
      <c r="F5" s="52" t="s">
        <v>572</v>
      </c>
      <c r="G5" s="52" t="s">
        <v>566</v>
      </c>
      <c r="H5" s="52" t="s">
        <v>573</v>
      </c>
      <c r="I5" s="52" t="s">
        <v>574</v>
      </c>
      <c r="J5" s="63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15.75" customHeight="1">
      <c r="A6" s="7">
        <v>1</v>
      </c>
      <c r="B6" s="7"/>
      <c r="C6" s="7"/>
      <c r="D6" s="7"/>
      <c r="E6" s="14"/>
      <c r="F6" s="14"/>
      <c r="G6" s="53"/>
      <c r="H6" s="7"/>
      <c r="I6" s="7"/>
      <c r="J6" s="63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15.75" customHeight="1">
      <c r="A7" s="7">
        <v>2</v>
      </c>
      <c r="B7" s="7"/>
      <c r="C7" s="7"/>
      <c r="D7" s="7"/>
      <c r="E7" s="14"/>
      <c r="F7" s="14"/>
      <c r="G7" s="53"/>
      <c r="H7" s="7"/>
      <c r="I7" s="7"/>
      <c r="J7" s="63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15.75" customHeight="1">
      <c r="A8" s="7">
        <v>3</v>
      </c>
      <c r="B8" s="7"/>
      <c r="C8" s="7"/>
      <c r="D8" s="7"/>
      <c r="E8" s="14"/>
      <c r="F8" s="14"/>
      <c r="G8" s="53"/>
      <c r="H8" s="7"/>
      <c r="I8" s="14"/>
      <c r="J8" s="63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5.75" customHeight="1">
      <c r="A9" s="7">
        <v>4</v>
      </c>
      <c r="B9" s="7"/>
      <c r="C9" s="7"/>
      <c r="D9" s="7"/>
      <c r="E9" s="14"/>
      <c r="F9" s="7"/>
      <c r="G9" s="53"/>
      <c r="H9" s="7"/>
      <c r="I9" s="7"/>
      <c r="J9" s="63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5.75" customHeight="1">
      <c r="A10" s="7">
        <v>5</v>
      </c>
      <c r="B10" s="7"/>
      <c r="C10" s="7"/>
      <c r="D10" s="7"/>
      <c r="E10" s="14"/>
      <c r="F10" s="7"/>
      <c r="G10" s="53"/>
      <c r="H10" s="7"/>
      <c r="I10" s="7"/>
      <c r="J10" s="63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5.75" customHeight="1">
      <c r="A11" s="7">
        <v>6</v>
      </c>
      <c r="B11" s="7"/>
      <c r="C11" s="7"/>
      <c r="D11" s="7"/>
      <c r="E11" s="14"/>
      <c r="F11" s="7"/>
      <c r="G11" s="53"/>
      <c r="H11" s="7"/>
      <c r="I11" s="7"/>
      <c r="J11" s="63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15.75" customHeight="1">
      <c r="A12" s="7">
        <v>7</v>
      </c>
      <c r="B12" s="7"/>
      <c r="C12" s="7"/>
      <c r="D12" s="7"/>
      <c r="E12" s="14"/>
      <c r="F12" s="7"/>
      <c r="G12" s="53"/>
      <c r="H12" s="7"/>
      <c r="I12" s="7"/>
      <c r="J12" s="63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15.75" customHeight="1">
      <c r="A13" s="7">
        <v>8</v>
      </c>
      <c r="B13" s="7"/>
      <c r="C13" s="7"/>
      <c r="D13" s="7"/>
      <c r="E13" s="14"/>
      <c r="F13" s="7"/>
      <c r="G13" s="53"/>
      <c r="H13" s="7"/>
      <c r="I13" s="7"/>
      <c r="J13" s="63"/>
      <c r="K13" s="64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15.75" customHeight="1">
      <c r="A14" s="7">
        <v>9</v>
      </c>
      <c r="B14" s="7"/>
      <c r="C14" s="7"/>
      <c r="D14" s="7"/>
      <c r="E14" s="14"/>
      <c r="F14" s="7"/>
      <c r="G14" s="60"/>
      <c r="H14" s="7"/>
      <c r="I14" s="7"/>
      <c r="J14" s="63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5.75" customHeight="1">
      <c r="A15" s="7">
        <v>10</v>
      </c>
      <c r="B15" s="7"/>
      <c r="C15" s="7"/>
      <c r="D15" s="7"/>
      <c r="E15" s="14"/>
      <c r="F15" s="7"/>
      <c r="G15" s="53"/>
      <c r="H15" s="7"/>
      <c r="I15" s="7"/>
      <c r="J15" s="63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0.5" customHeight="1">
      <c r="A16" s="97"/>
      <c r="B16" s="72"/>
      <c r="C16" s="72"/>
      <c r="D16" s="72"/>
      <c r="E16" s="72"/>
      <c r="F16" s="72"/>
      <c r="G16" s="72"/>
      <c r="H16" s="72"/>
      <c r="I16" s="72"/>
      <c r="J16" s="7"/>
      <c r="K16" s="62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ht="15.75" customHeight="1">
      <c r="A17" s="99" t="s">
        <v>564</v>
      </c>
      <c r="B17" s="72"/>
      <c r="C17" s="72"/>
      <c r="D17" s="72"/>
      <c r="E17" s="100" t="s">
        <v>598</v>
      </c>
      <c r="F17" s="72"/>
      <c r="G17" s="72"/>
      <c r="H17" s="72"/>
      <c r="I17" s="72"/>
      <c r="J17" s="7"/>
      <c r="K17" s="62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ht="15.75" customHeight="1">
      <c r="A18" s="52" t="s">
        <v>6</v>
      </c>
      <c r="B18" s="52" t="s">
        <v>567</v>
      </c>
      <c r="C18" s="52" t="s">
        <v>568</v>
      </c>
      <c r="D18" s="52" t="s">
        <v>569</v>
      </c>
      <c r="E18" s="52" t="s">
        <v>600</v>
      </c>
      <c r="F18" s="52"/>
      <c r="G18" s="52"/>
      <c r="H18" s="52" t="s">
        <v>604</v>
      </c>
      <c r="I18" s="52" t="s">
        <v>605</v>
      </c>
      <c r="J18" s="7"/>
      <c r="K18" s="62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ht="15.75" customHeight="1">
      <c r="A19" s="7">
        <v>1</v>
      </c>
      <c r="B19" s="7" t="s">
        <v>755</v>
      </c>
      <c r="C19" s="7"/>
      <c r="D19" s="7" t="s">
        <v>722</v>
      </c>
      <c r="E19" s="68" t="s">
        <v>754</v>
      </c>
      <c r="F19" s="7"/>
      <c r="G19" s="7"/>
      <c r="H19" s="7"/>
      <c r="I19" s="7" t="s">
        <v>758</v>
      </c>
      <c r="J19" s="7"/>
      <c r="K19" s="62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ht="15.75" customHeight="1">
      <c r="A20" s="7">
        <v>2</v>
      </c>
      <c r="B20" s="7" t="s">
        <v>756</v>
      </c>
      <c r="C20" s="7"/>
      <c r="D20" s="7" t="s">
        <v>726</v>
      </c>
      <c r="E20" s="68" t="s">
        <v>757</v>
      </c>
      <c r="F20" s="7"/>
      <c r="G20" s="7"/>
      <c r="H20" s="7"/>
      <c r="I20" s="7" t="s">
        <v>759</v>
      </c>
      <c r="J20" s="7"/>
      <c r="K20" s="62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ht="15.75" customHeight="1">
      <c r="A21" s="7">
        <v>3</v>
      </c>
      <c r="B21" s="7" t="s">
        <v>763</v>
      </c>
      <c r="C21" s="7"/>
      <c r="D21" s="7" t="s">
        <v>726</v>
      </c>
      <c r="E21" s="68" t="s">
        <v>764</v>
      </c>
      <c r="F21" s="7"/>
      <c r="G21" s="7"/>
      <c r="H21" s="7"/>
      <c r="I21" s="7" t="s">
        <v>765</v>
      </c>
      <c r="J21" s="7"/>
      <c r="K21" s="62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ht="15.75" customHeight="1">
      <c r="A22" s="6">
        <v>4</v>
      </c>
      <c r="B22" s="7" t="s">
        <v>767</v>
      </c>
      <c r="C22" s="7"/>
      <c r="D22" s="7" t="s">
        <v>726</v>
      </c>
      <c r="E22" s="69" t="s">
        <v>766</v>
      </c>
      <c r="F22" s="7"/>
      <c r="G22" s="7"/>
      <c r="H22" s="7"/>
      <c r="I22" s="7"/>
      <c r="J22" s="7"/>
      <c r="K22" s="62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ht="15.75" customHeight="1">
      <c r="A23" s="6">
        <v>5</v>
      </c>
      <c r="B23" s="7" t="s">
        <v>768</v>
      </c>
      <c r="C23" s="7"/>
      <c r="D23" s="7" t="s">
        <v>726</v>
      </c>
      <c r="E23" s="69" t="s">
        <v>773</v>
      </c>
      <c r="F23" s="7"/>
      <c r="G23" s="7"/>
      <c r="H23" s="7"/>
      <c r="I23" s="7"/>
      <c r="J23" s="7"/>
      <c r="K23" s="62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ht="15.75" customHeight="1">
      <c r="A24" s="6">
        <v>6</v>
      </c>
      <c r="B24" s="7" t="s">
        <v>769</v>
      </c>
      <c r="C24" s="7"/>
      <c r="D24" s="7" t="s">
        <v>735</v>
      </c>
      <c r="E24" s="70" t="s">
        <v>774</v>
      </c>
      <c r="F24" s="7"/>
      <c r="G24" s="7"/>
      <c r="H24" s="7"/>
      <c r="I24" s="7" t="s">
        <v>770</v>
      </c>
      <c r="J24" s="7"/>
      <c r="K24" s="62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ht="15.75" customHeight="1">
      <c r="A25" s="6">
        <v>7</v>
      </c>
      <c r="B25" s="7" t="s">
        <v>772</v>
      </c>
      <c r="C25" s="7"/>
      <c r="D25" s="7"/>
      <c r="E25" s="70" t="s">
        <v>771</v>
      </c>
      <c r="F25" s="7"/>
      <c r="G25" s="7"/>
      <c r="H25" s="7"/>
      <c r="I25" s="7"/>
      <c r="J25" s="7"/>
      <c r="K25" s="62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ht="15.75" customHeight="1">
      <c r="A26" s="6">
        <v>8</v>
      </c>
      <c r="B26" s="7"/>
      <c r="C26" s="7"/>
      <c r="D26" s="7"/>
      <c r="E26" s="41"/>
      <c r="F26" s="7"/>
      <c r="G26" s="7"/>
      <c r="H26" s="7"/>
      <c r="I26" s="7"/>
      <c r="J26" s="7"/>
      <c r="K26" s="62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 ht="15.75" customHeight="1">
      <c r="A27" s="6">
        <v>9</v>
      </c>
      <c r="B27" s="7"/>
      <c r="C27" s="7"/>
      <c r="D27" s="7"/>
      <c r="E27" s="41"/>
      <c r="F27" s="7"/>
      <c r="G27" s="7"/>
      <c r="H27" s="7"/>
      <c r="I27" s="7"/>
      <c r="J27" s="7"/>
      <c r="K27" s="62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ht="15.75" customHeight="1">
      <c r="A28" s="6">
        <v>10</v>
      </c>
      <c r="B28" s="7"/>
      <c r="C28" s="7"/>
      <c r="D28" s="7"/>
      <c r="E28" s="41"/>
      <c r="F28" s="7"/>
      <c r="G28" s="7"/>
      <c r="H28" s="7"/>
      <c r="I28" s="7"/>
      <c r="J28" s="7"/>
      <c r="K28" s="62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ht="15.75" customHeight="1">
      <c r="A29" s="6">
        <v>11</v>
      </c>
      <c r="B29" s="7"/>
      <c r="C29" s="7"/>
      <c r="D29" s="7"/>
      <c r="E29" s="41"/>
      <c r="F29" s="7"/>
      <c r="G29" s="7"/>
      <c r="H29" s="7"/>
      <c r="I29" s="7"/>
      <c r="J29" s="7"/>
      <c r="K29" s="62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ht="15.75" customHeight="1">
      <c r="A30" s="6">
        <v>12</v>
      </c>
      <c r="B30" s="7"/>
      <c r="C30" s="7"/>
      <c r="D30" s="7"/>
      <c r="E30" s="41"/>
      <c r="F30" s="7"/>
      <c r="G30" s="7"/>
      <c r="H30" s="7"/>
      <c r="I30" s="7"/>
      <c r="J30" s="7"/>
      <c r="K30" s="62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ht="15.75" customHeight="1">
      <c r="A31" s="6">
        <v>13</v>
      </c>
      <c r="B31" s="7"/>
      <c r="C31" s="7"/>
      <c r="D31" s="7"/>
      <c r="E31" s="41"/>
      <c r="F31" s="7"/>
      <c r="G31" s="7"/>
      <c r="H31" s="7"/>
      <c r="I31" s="7"/>
      <c r="J31" s="7"/>
      <c r="K31" s="62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ht="15.75" customHeight="1">
      <c r="A32" s="6">
        <v>14</v>
      </c>
      <c r="B32" s="7"/>
      <c r="C32" s="7"/>
      <c r="D32" s="7"/>
      <c r="E32" s="41"/>
      <c r="F32" s="7"/>
      <c r="G32" s="7"/>
      <c r="H32" s="7"/>
      <c r="I32" s="7"/>
      <c r="J32" s="7"/>
      <c r="K32" s="62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ht="15.75" customHeight="1">
      <c r="A33" s="6">
        <v>15</v>
      </c>
      <c r="B33" s="7"/>
      <c r="C33" s="7"/>
      <c r="D33" s="7"/>
      <c r="E33" s="41"/>
      <c r="F33" s="7"/>
      <c r="G33" s="7"/>
      <c r="H33" s="7"/>
      <c r="I33" s="7"/>
      <c r="J33" s="7"/>
      <c r="K33" s="62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ht="15.75" customHeight="1">
      <c r="A34" s="6">
        <v>16</v>
      </c>
      <c r="B34" s="7"/>
      <c r="C34" s="7"/>
      <c r="D34" s="7"/>
      <c r="E34" s="41"/>
      <c r="F34" s="7"/>
      <c r="G34" s="7"/>
      <c r="H34" s="7"/>
      <c r="I34" s="7"/>
      <c r="J34" s="7"/>
      <c r="K34" s="62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ht="15.75" customHeight="1">
      <c r="A35" s="6">
        <v>17</v>
      </c>
      <c r="B35" s="7"/>
      <c r="C35" s="7"/>
      <c r="D35" s="7"/>
      <c r="E35" s="41"/>
      <c r="F35" s="7"/>
      <c r="G35" s="7"/>
      <c r="H35" s="7"/>
      <c r="I35" s="7"/>
      <c r="J35" s="7"/>
      <c r="K35" s="62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ht="15.75" customHeight="1">
      <c r="A36" s="6">
        <v>18</v>
      </c>
      <c r="B36" s="7"/>
      <c r="C36" s="7"/>
      <c r="D36" s="7"/>
      <c r="E36" s="41"/>
      <c r="F36" s="7"/>
      <c r="G36" s="7"/>
      <c r="H36" s="7"/>
      <c r="I36" s="7"/>
      <c r="J36" s="7"/>
      <c r="K36" s="62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ht="15.75" customHeight="1">
      <c r="A37" s="6">
        <v>19</v>
      </c>
      <c r="B37" s="7"/>
      <c r="C37" s="7"/>
      <c r="D37" s="7"/>
      <c r="E37" s="56"/>
      <c r="F37" s="7"/>
      <c r="G37" s="7"/>
      <c r="H37" s="7"/>
      <c r="I37" s="7"/>
      <c r="J37" s="7"/>
      <c r="K37" s="62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ht="15.75" customHeight="1">
      <c r="A38" s="6">
        <v>20</v>
      </c>
      <c r="B38" s="7"/>
      <c r="C38" s="7"/>
      <c r="D38" s="7"/>
      <c r="E38" s="56"/>
      <c r="F38" s="7"/>
      <c r="G38" s="7"/>
      <c r="H38" s="7"/>
      <c r="I38" s="7"/>
      <c r="J38" s="7"/>
      <c r="K38" s="62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ht="15.75" customHeight="1">
      <c r="A39" s="6">
        <v>21</v>
      </c>
      <c r="B39" s="7"/>
      <c r="C39" s="7"/>
      <c r="D39" s="7"/>
      <c r="E39" s="56"/>
      <c r="F39" s="7"/>
      <c r="G39" s="7"/>
      <c r="H39" s="7"/>
      <c r="I39" s="7"/>
      <c r="J39" s="7"/>
      <c r="K39" s="62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ht="15.75" customHeight="1">
      <c r="A40" s="6">
        <v>22</v>
      </c>
      <c r="B40" s="7"/>
      <c r="C40" s="7"/>
      <c r="D40" s="7"/>
      <c r="E40" s="56"/>
      <c r="F40" s="7"/>
      <c r="G40" s="7"/>
      <c r="H40" s="7"/>
      <c r="I40" s="7"/>
      <c r="J40" s="7"/>
      <c r="K40" s="62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ht="15.75" customHeight="1">
      <c r="A41" s="6">
        <v>23</v>
      </c>
      <c r="B41" s="7"/>
      <c r="C41" s="7"/>
      <c r="D41" s="7"/>
      <c r="E41" s="41"/>
      <c r="F41" s="7"/>
      <c r="G41" s="7"/>
      <c r="H41" s="7"/>
      <c r="I41" s="7"/>
      <c r="J41" s="7"/>
      <c r="K41" s="62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ht="15.75" customHeight="1">
      <c r="A42" s="6">
        <v>24</v>
      </c>
      <c r="B42" s="7"/>
      <c r="C42" s="7"/>
      <c r="D42" s="7"/>
      <c r="E42" s="41"/>
      <c r="F42" s="7"/>
      <c r="G42" s="7"/>
      <c r="H42" s="7"/>
      <c r="I42" s="7"/>
      <c r="J42" s="7"/>
      <c r="K42" s="62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ht="15.75" customHeight="1">
      <c r="A43" s="6">
        <v>25</v>
      </c>
      <c r="B43" s="7"/>
      <c r="C43" s="7"/>
      <c r="D43" s="7"/>
      <c r="E43" s="41"/>
      <c r="F43" s="7"/>
      <c r="G43" s="7"/>
      <c r="H43" s="7"/>
      <c r="I43" s="7"/>
      <c r="J43" s="7"/>
      <c r="K43" s="62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ht="15.75" customHeight="1">
      <c r="A44" s="6">
        <v>26</v>
      </c>
      <c r="B44" s="7"/>
      <c r="C44" s="7"/>
      <c r="D44" s="7"/>
      <c r="E44" s="41"/>
      <c r="F44" s="7"/>
      <c r="G44" s="7"/>
      <c r="H44" s="7"/>
      <c r="I44" s="7"/>
      <c r="J44" s="7"/>
      <c r="K44" s="62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ht="15.75" customHeight="1">
      <c r="A45" s="6">
        <v>27</v>
      </c>
      <c r="B45" s="7"/>
      <c r="C45" s="7"/>
      <c r="D45" s="7"/>
      <c r="E45" s="41"/>
      <c r="F45" s="7"/>
      <c r="G45" s="7"/>
      <c r="H45" s="7"/>
      <c r="I45" s="7"/>
      <c r="J45" s="7"/>
      <c r="K45" s="62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ht="15.75" customHeight="1">
      <c r="A46" s="6">
        <v>28</v>
      </c>
      <c r="B46" s="7"/>
      <c r="C46" s="7"/>
      <c r="D46" s="7"/>
      <c r="E46" s="56"/>
      <c r="F46" s="7"/>
      <c r="G46" s="7"/>
      <c r="H46" s="7"/>
      <c r="I46" s="7"/>
      <c r="J46" s="7"/>
      <c r="K46" s="62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ht="15.75" customHeight="1">
      <c r="A47" s="6">
        <v>29</v>
      </c>
      <c r="B47" s="7"/>
      <c r="C47" s="7"/>
      <c r="D47" s="7"/>
      <c r="E47" s="56"/>
      <c r="F47" s="7"/>
      <c r="G47" s="7"/>
      <c r="H47" s="7"/>
      <c r="I47" s="7"/>
      <c r="J47" s="7"/>
      <c r="K47" s="62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ht="15.75" customHeight="1">
      <c r="A48" s="6">
        <v>30</v>
      </c>
      <c r="B48" s="7"/>
      <c r="C48" s="7"/>
      <c r="D48" s="7"/>
      <c r="E48" s="56"/>
      <c r="F48" s="7"/>
      <c r="G48" s="7"/>
      <c r="H48" s="7"/>
      <c r="I48" s="7"/>
      <c r="J48" s="7"/>
      <c r="K48" s="62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ht="15.75" customHeight="1">
      <c r="A49" s="6">
        <v>31</v>
      </c>
      <c r="B49" s="7"/>
      <c r="C49" s="7"/>
      <c r="D49" s="7"/>
      <c r="E49" s="56"/>
      <c r="F49" s="7"/>
      <c r="G49" s="7"/>
      <c r="H49" s="7"/>
      <c r="I49" s="7"/>
      <c r="J49" s="7"/>
      <c r="K49" s="62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ht="15.75" customHeight="1">
      <c r="A50" s="6">
        <v>32</v>
      </c>
      <c r="B50" s="7"/>
      <c r="C50" s="7"/>
      <c r="D50" s="7"/>
      <c r="E50" s="41"/>
      <c r="F50" s="7"/>
      <c r="G50" s="7"/>
      <c r="H50" s="7"/>
      <c r="I50" s="7"/>
      <c r="J50" s="7"/>
      <c r="K50" s="62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ht="15.75" customHeight="1">
      <c r="A51" s="6">
        <v>33</v>
      </c>
      <c r="B51" s="7"/>
      <c r="C51" s="7"/>
      <c r="D51" s="7"/>
      <c r="E51" s="41"/>
      <c r="F51" s="7"/>
      <c r="G51" s="7"/>
      <c r="H51" s="7"/>
      <c r="I51" s="7"/>
      <c r="J51" s="7"/>
      <c r="K51" s="62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ht="15.75" customHeight="1">
      <c r="A52" s="6">
        <v>34</v>
      </c>
      <c r="B52" s="7"/>
      <c r="C52" s="7"/>
      <c r="D52" s="7"/>
      <c r="E52" s="41"/>
      <c r="F52" s="7"/>
      <c r="G52" s="7"/>
      <c r="H52" s="7"/>
      <c r="I52" s="7"/>
      <c r="J52" s="7"/>
      <c r="K52" s="62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 ht="15.75" customHeight="1">
      <c r="A53" s="6">
        <v>35</v>
      </c>
      <c r="B53" s="7"/>
      <c r="C53" s="7"/>
      <c r="D53" s="7"/>
      <c r="E53" s="7"/>
      <c r="F53" s="7"/>
      <c r="G53" s="7"/>
      <c r="H53" s="7"/>
      <c r="I53" s="7"/>
      <c r="J53" s="7"/>
      <c r="K53" s="62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 ht="15.75" customHeight="1">
      <c r="A54" s="6">
        <v>36</v>
      </c>
      <c r="B54" s="7"/>
      <c r="C54" s="7"/>
      <c r="D54" s="7"/>
      <c r="E54" s="7"/>
      <c r="F54" s="7"/>
      <c r="G54" s="7"/>
      <c r="H54" s="7"/>
      <c r="I54" s="7"/>
      <c r="J54" s="7"/>
      <c r="K54" s="62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 ht="15.75" customHeight="1">
      <c r="A55" s="6">
        <v>37</v>
      </c>
      <c r="B55" s="7"/>
      <c r="C55" s="7"/>
      <c r="D55" s="7"/>
      <c r="E55" s="41"/>
      <c r="F55" s="7"/>
      <c r="G55" s="7"/>
      <c r="H55" s="7"/>
      <c r="I55" s="7"/>
      <c r="J55" s="7"/>
      <c r="K55" s="62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 ht="15.75" customHeight="1">
      <c r="A56" s="6">
        <v>38</v>
      </c>
      <c r="B56" s="7"/>
      <c r="C56" s="7"/>
      <c r="D56" s="7"/>
      <c r="E56" s="7"/>
      <c r="F56" s="7"/>
      <c r="G56" s="7"/>
      <c r="H56" s="7"/>
      <c r="I56" s="7"/>
      <c r="J56" s="7"/>
      <c r="K56" s="62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 ht="15.75" customHeight="1">
      <c r="A57" s="6">
        <v>39</v>
      </c>
      <c r="B57" s="7"/>
      <c r="C57" s="7"/>
      <c r="D57" s="7"/>
      <c r="E57" s="7"/>
      <c r="F57" s="7"/>
      <c r="G57" s="7"/>
      <c r="H57" s="7"/>
      <c r="I57" s="7"/>
      <c r="J57" s="7"/>
      <c r="K57" s="62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 ht="15.75" customHeight="1">
      <c r="A58" s="6">
        <v>40</v>
      </c>
      <c r="B58" s="7"/>
      <c r="C58" s="7"/>
      <c r="D58" s="7"/>
      <c r="E58" s="41"/>
      <c r="F58" s="7"/>
      <c r="G58" s="7"/>
      <c r="H58" s="7"/>
      <c r="I58" s="7"/>
      <c r="J58" s="7"/>
      <c r="K58" s="62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ht="15.75" customHeight="1">
      <c r="A59" s="6">
        <v>41</v>
      </c>
      <c r="B59" s="7"/>
      <c r="C59" s="7"/>
      <c r="D59" s="7"/>
      <c r="E59" s="41"/>
      <c r="F59" s="7"/>
      <c r="G59" s="7"/>
      <c r="H59" s="7"/>
      <c r="I59" s="7"/>
      <c r="J59" s="7"/>
      <c r="K59" s="62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ht="15.75" customHeight="1">
      <c r="A60" s="6">
        <v>42</v>
      </c>
      <c r="B60" s="7"/>
      <c r="C60" s="7"/>
      <c r="D60" s="7"/>
      <c r="E60" s="41"/>
      <c r="F60" s="7"/>
      <c r="G60" s="7"/>
      <c r="H60" s="7"/>
      <c r="I60" s="7"/>
      <c r="J60" s="7"/>
      <c r="K60" s="62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ht="15.75" customHeight="1">
      <c r="A61" s="6">
        <v>43</v>
      </c>
      <c r="B61" s="7"/>
      <c r="C61" s="7"/>
      <c r="D61" s="7"/>
      <c r="E61" s="41"/>
      <c r="F61" s="7"/>
      <c r="G61" s="7"/>
      <c r="H61" s="7"/>
      <c r="I61" s="7"/>
      <c r="J61" s="7"/>
      <c r="K61" s="62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 ht="15.75" customHeight="1">
      <c r="A62" s="6">
        <v>44</v>
      </c>
      <c r="B62" s="7"/>
      <c r="C62" s="7"/>
      <c r="D62" s="7"/>
      <c r="E62" s="41"/>
      <c r="F62" s="7"/>
      <c r="G62" s="7"/>
      <c r="H62" s="7"/>
      <c r="I62" s="7"/>
      <c r="J62" s="7"/>
      <c r="K62" s="62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 ht="15.75" customHeight="1">
      <c r="A63" s="6">
        <v>45</v>
      </c>
      <c r="B63" s="7"/>
      <c r="C63" s="7"/>
      <c r="D63" s="7"/>
      <c r="E63" s="41"/>
      <c r="F63" s="7"/>
      <c r="G63" s="7"/>
      <c r="H63" s="7"/>
      <c r="I63" s="7"/>
      <c r="J63" s="7"/>
      <c r="K63" s="62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 ht="15.75" customHeight="1">
      <c r="A64" s="6">
        <v>46</v>
      </c>
      <c r="B64" s="7"/>
      <c r="C64" s="7"/>
      <c r="D64" s="7"/>
      <c r="E64" s="7"/>
      <c r="F64" s="7"/>
      <c r="G64" s="7"/>
      <c r="H64" s="7"/>
      <c r="I64" s="7"/>
      <c r="J64" s="7"/>
      <c r="K64" s="62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 ht="15.75" customHeight="1">
      <c r="A65" s="6">
        <v>47</v>
      </c>
      <c r="B65" s="7"/>
      <c r="C65" s="7"/>
      <c r="D65" s="7"/>
      <c r="E65" s="41"/>
      <c r="F65" s="7"/>
      <c r="G65" s="7"/>
      <c r="H65" s="7"/>
      <c r="I65" s="7"/>
      <c r="J65" s="7"/>
      <c r="K65" s="62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 ht="15.75" customHeight="1">
      <c r="A66" s="6">
        <v>48</v>
      </c>
      <c r="B66" s="7"/>
      <c r="C66" s="7"/>
      <c r="D66" s="7"/>
      <c r="E66" s="41"/>
      <c r="F66" s="7"/>
      <c r="G66" s="7"/>
      <c r="H66" s="7"/>
      <c r="I66" s="7"/>
      <c r="J66" s="7"/>
      <c r="K66" s="62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 ht="15.75" customHeight="1">
      <c r="A67" s="6">
        <v>49</v>
      </c>
      <c r="B67" s="7"/>
      <c r="C67" s="7"/>
      <c r="D67" s="7"/>
      <c r="E67" s="41"/>
      <c r="F67" s="7"/>
      <c r="G67" s="7"/>
      <c r="H67" s="7"/>
      <c r="I67" s="7"/>
      <c r="J67" s="7"/>
      <c r="K67" s="62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ht="15.75" customHeight="1">
      <c r="A68" s="6">
        <v>50</v>
      </c>
      <c r="B68" s="7"/>
      <c r="C68" s="7"/>
      <c r="D68" s="7"/>
      <c r="E68" s="41"/>
      <c r="F68" s="7"/>
      <c r="G68" s="7"/>
      <c r="H68" s="7"/>
      <c r="I68" s="7"/>
      <c r="J68" s="7"/>
      <c r="K68" s="62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ht="15.75" customHeight="1">
      <c r="A69" s="6">
        <v>51</v>
      </c>
      <c r="B69" s="7"/>
      <c r="C69" s="7"/>
      <c r="D69" s="7"/>
      <c r="E69" s="41"/>
      <c r="F69" s="7"/>
      <c r="G69" s="7"/>
      <c r="H69" s="7"/>
      <c r="I69" s="7"/>
      <c r="J69" s="65"/>
      <c r="K69" s="62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ht="15.75" customHeight="1">
      <c r="A70" s="6">
        <v>52</v>
      </c>
      <c r="B70" s="7"/>
      <c r="C70" s="7"/>
      <c r="D70" s="7"/>
      <c r="E70" s="41"/>
      <c r="F70" s="7"/>
      <c r="G70" s="7"/>
      <c r="H70" s="7"/>
      <c r="I70" s="7"/>
      <c r="J70" s="65"/>
      <c r="K70" s="62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 ht="15.75" customHeight="1">
      <c r="A71" s="6">
        <v>53</v>
      </c>
      <c r="B71" s="7"/>
      <c r="C71" s="7"/>
      <c r="D71" s="7"/>
      <c r="E71" s="7"/>
      <c r="F71" s="7"/>
      <c r="G71" s="7"/>
      <c r="H71" s="7"/>
      <c r="I71" s="7"/>
      <c r="J71" s="65"/>
      <c r="K71" s="62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 ht="15.75" customHeight="1">
      <c r="A72" s="6">
        <v>54</v>
      </c>
      <c r="B72" s="7"/>
      <c r="C72" s="7"/>
      <c r="D72" s="7"/>
      <c r="E72" s="41"/>
      <c r="F72" s="7"/>
      <c r="G72" s="7"/>
      <c r="H72" s="7"/>
      <c r="I72" s="7"/>
      <c r="J72" s="65"/>
      <c r="K72" s="62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 ht="15.75" customHeight="1">
      <c r="A73" s="6">
        <v>55</v>
      </c>
      <c r="B73" s="7"/>
      <c r="C73" s="7"/>
      <c r="D73" s="7"/>
      <c r="E73" s="41"/>
      <c r="F73" s="7"/>
      <c r="G73" s="7"/>
      <c r="H73" s="7"/>
      <c r="I73" s="7"/>
      <c r="J73" s="65"/>
      <c r="K73" s="62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 ht="15.75" customHeight="1">
      <c r="A74" s="6">
        <v>56</v>
      </c>
      <c r="B74" s="7"/>
      <c r="C74" s="7"/>
      <c r="D74" s="7"/>
      <c r="E74" s="41"/>
      <c r="F74" s="7"/>
      <c r="G74" s="7"/>
      <c r="H74" s="7"/>
      <c r="I74" s="7"/>
      <c r="J74" s="65"/>
      <c r="K74" s="62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 ht="15.75" customHeight="1">
      <c r="A75" s="6">
        <v>57</v>
      </c>
      <c r="B75" s="7"/>
      <c r="C75" s="7"/>
      <c r="D75" s="7"/>
      <c r="E75" s="41"/>
      <c r="F75" s="7"/>
      <c r="G75" s="7"/>
      <c r="H75" s="7"/>
      <c r="I75" s="7"/>
      <c r="J75" s="65"/>
      <c r="K75" s="62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 ht="15.75" customHeight="1">
      <c r="A76" s="6">
        <v>58</v>
      </c>
      <c r="B76" s="7"/>
      <c r="C76" s="7"/>
      <c r="D76" s="7"/>
      <c r="E76" s="7"/>
      <c r="F76" s="7"/>
      <c r="G76" s="7"/>
      <c r="H76" s="7"/>
      <c r="I76" s="7"/>
      <c r="J76" s="65"/>
      <c r="K76" s="62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ht="15.75" customHeight="1">
      <c r="A77" s="6">
        <v>59</v>
      </c>
      <c r="B77" s="7"/>
      <c r="C77" s="7"/>
      <c r="D77" s="7"/>
      <c r="E77" s="7"/>
      <c r="F77" s="7"/>
      <c r="G77" s="7"/>
      <c r="H77" s="7"/>
      <c r="I77" s="7"/>
      <c r="J77" s="65"/>
      <c r="K77" s="62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ht="15.75" customHeight="1">
      <c r="A78" s="6">
        <v>60</v>
      </c>
      <c r="B78" s="7"/>
      <c r="C78" s="7"/>
      <c r="D78" s="7"/>
      <c r="E78" s="41"/>
      <c r="F78" s="7"/>
      <c r="G78" s="7"/>
      <c r="H78" s="7"/>
      <c r="I78" s="7"/>
      <c r="J78" s="65"/>
      <c r="K78" s="62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ht="15.75" customHeight="1">
      <c r="A79" s="6">
        <v>61</v>
      </c>
      <c r="B79" s="7"/>
      <c r="C79" s="7"/>
      <c r="D79" s="7"/>
      <c r="E79" s="41"/>
      <c r="F79" s="7"/>
      <c r="G79" s="7"/>
      <c r="H79" s="7"/>
      <c r="I79" s="7"/>
      <c r="J79" s="7"/>
      <c r="K79" s="62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 ht="15.75" customHeight="1">
      <c r="A80" s="6">
        <v>62</v>
      </c>
      <c r="B80" s="7"/>
      <c r="C80" s="7"/>
      <c r="D80" s="7"/>
      <c r="E80" s="41"/>
      <c r="F80" s="7"/>
      <c r="G80" s="7"/>
      <c r="H80" s="7"/>
      <c r="I80" s="7"/>
      <c r="J80" s="66"/>
      <c r="K80" s="62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 ht="15.75" customHeight="1">
      <c r="A81" s="6">
        <v>63</v>
      </c>
      <c r="B81" s="7"/>
      <c r="C81" s="7"/>
      <c r="D81" s="7"/>
      <c r="E81" s="41"/>
      <c r="F81" s="7"/>
      <c r="G81" s="7"/>
      <c r="H81" s="7"/>
      <c r="I81" s="7"/>
      <c r="J81" s="66"/>
      <c r="K81" s="62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 ht="15.75" customHeight="1">
      <c r="A82" s="6">
        <v>64</v>
      </c>
      <c r="B82" s="7"/>
      <c r="C82" s="7"/>
      <c r="D82" s="7"/>
      <c r="E82" s="41"/>
      <c r="F82" s="7"/>
      <c r="G82" s="7"/>
      <c r="H82" s="7"/>
      <c r="I82" s="7"/>
      <c r="J82" s="7"/>
      <c r="K82" s="62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 ht="15.75" customHeight="1">
      <c r="A83" s="6">
        <v>65</v>
      </c>
      <c r="B83" s="7"/>
      <c r="C83" s="7"/>
      <c r="D83" s="7"/>
      <c r="E83" s="41"/>
      <c r="F83" s="7"/>
      <c r="G83" s="7"/>
      <c r="H83" s="7"/>
      <c r="I83" s="7"/>
      <c r="J83" s="66"/>
      <c r="K83" s="62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 ht="15.75" customHeight="1">
      <c r="A84" s="6">
        <v>66</v>
      </c>
      <c r="B84" s="7"/>
      <c r="C84" s="7"/>
      <c r="D84" s="7"/>
      <c r="E84" s="41"/>
      <c r="F84" s="7"/>
      <c r="G84" s="7"/>
      <c r="H84" s="7"/>
      <c r="I84" s="7"/>
      <c r="J84" s="66"/>
      <c r="K84" s="62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 ht="15.75" customHeight="1">
      <c r="A85" s="6">
        <v>67</v>
      </c>
      <c r="B85" s="7"/>
      <c r="C85" s="7"/>
      <c r="D85" s="7"/>
      <c r="E85" s="41"/>
      <c r="F85" s="7"/>
      <c r="G85" s="7"/>
      <c r="H85" s="7"/>
      <c r="I85" s="7"/>
      <c r="J85" s="7"/>
      <c r="K85" s="62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ht="15.75" customHeight="1">
      <c r="A86" s="6">
        <v>68</v>
      </c>
      <c r="B86" s="7"/>
      <c r="C86" s="7"/>
      <c r="D86" s="7"/>
      <c r="E86" s="41"/>
      <c r="F86" s="7"/>
      <c r="G86" s="7"/>
      <c r="H86" s="7"/>
      <c r="I86" s="7"/>
      <c r="J86" s="7"/>
      <c r="K86" s="62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ht="15.75" customHeight="1">
      <c r="A87" s="6">
        <v>69</v>
      </c>
      <c r="B87" s="7"/>
      <c r="C87" s="7"/>
      <c r="D87" s="7"/>
      <c r="E87" s="41"/>
      <c r="F87" s="7"/>
      <c r="G87" s="7"/>
      <c r="H87" s="7"/>
      <c r="I87" s="7"/>
      <c r="J87" s="66"/>
      <c r="K87" s="62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ht="15.75" customHeight="1">
      <c r="A88" s="6">
        <v>70</v>
      </c>
      <c r="B88" s="7"/>
      <c r="C88" s="7"/>
      <c r="D88" s="7"/>
      <c r="E88" s="41"/>
      <c r="F88" s="7"/>
      <c r="G88" s="7"/>
      <c r="H88" s="7"/>
      <c r="I88" s="7"/>
      <c r="J88" s="7"/>
      <c r="K88" s="62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 ht="15.75" customHeight="1">
      <c r="A89" s="6">
        <v>71</v>
      </c>
      <c r="B89" s="7"/>
      <c r="C89" s="7"/>
      <c r="D89" s="7"/>
      <c r="E89" s="41"/>
      <c r="F89" s="7"/>
      <c r="G89" s="7"/>
      <c r="H89" s="7"/>
      <c r="I89" s="7"/>
      <c r="J89" s="66"/>
      <c r="K89" s="62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 ht="15.75" customHeight="1">
      <c r="A90" s="6">
        <v>72</v>
      </c>
      <c r="B90" s="7"/>
      <c r="C90" s="7"/>
      <c r="D90" s="7"/>
      <c r="E90" s="41"/>
      <c r="F90" s="7"/>
      <c r="G90" s="7"/>
      <c r="H90" s="7"/>
      <c r="I90" s="7"/>
      <c r="J90" s="66"/>
      <c r="K90" s="62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 ht="15.75" customHeight="1">
      <c r="A91" s="6">
        <v>73</v>
      </c>
      <c r="B91" s="7"/>
      <c r="C91" s="7"/>
      <c r="D91" s="7"/>
      <c r="E91" s="41"/>
      <c r="F91" s="7"/>
      <c r="G91" s="7"/>
      <c r="H91" s="7"/>
      <c r="I91" s="7"/>
      <c r="J91" s="67"/>
      <c r="K91" s="62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 ht="15.75" customHeight="1">
      <c r="A92" s="6">
        <v>74</v>
      </c>
      <c r="B92" s="7"/>
      <c r="C92" s="7"/>
      <c r="D92" s="7"/>
      <c r="E92" s="41"/>
      <c r="F92" s="7"/>
      <c r="G92" s="7"/>
      <c r="H92" s="7"/>
      <c r="I92" s="7"/>
      <c r="J92" s="66"/>
      <c r="K92" s="62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 ht="15.75" customHeight="1">
      <c r="A93" s="6">
        <v>75</v>
      </c>
      <c r="B93" s="7"/>
      <c r="C93" s="7"/>
      <c r="D93" s="7"/>
      <c r="E93" s="41"/>
      <c r="F93" s="7"/>
      <c r="G93" s="7"/>
      <c r="H93" s="7"/>
      <c r="I93" s="7"/>
      <c r="J93" s="66"/>
      <c r="K93" s="62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 ht="15.75" customHeight="1">
      <c r="A94" s="6">
        <v>76</v>
      </c>
      <c r="B94" s="7"/>
      <c r="C94" s="7"/>
      <c r="D94" s="7"/>
      <c r="E94" s="56"/>
      <c r="F94" s="7"/>
      <c r="G94" s="7"/>
      <c r="H94" s="7"/>
      <c r="I94" s="7"/>
      <c r="J94" s="67"/>
      <c r="K94" s="62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ht="15.75" customHeight="1">
      <c r="A95" s="6">
        <v>77</v>
      </c>
      <c r="B95" s="7"/>
      <c r="C95" s="7"/>
      <c r="D95" s="7"/>
      <c r="E95" s="56"/>
      <c r="F95" s="7"/>
      <c r="G95" s="7"/>
      <c r="H95" s="7"/>
      <c r="I95" s="7"/>
      <c r="J95" s="66"/>
      <c r="K95" s="62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ht="15.75" customHeight="1">
      <c r="A96" s="6">
        <v>78</v>
      </c>
      <c r="B96" s="7"/>
      <c r="C96" s="7"/>
      <c r="D96" s="7"/>
      <c r="E96" s="41"/>
      <c r="F96" s="50"/>
      <c r="G96" s="50"/>
      <c r="H96" s="7"/>
      <c r="I96" s="7"/>
      <c r="J96" s="7"/>
      <c r="K96" s="62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ht="15.75" customHeight="1">
      <c r="A97" s="6">
        <v>79</v>
      </c>
      <c r="B97" s="7"/>
      <c r="C97" s="7"/>
      <c r="D97" s="7"/>
      <c r="E97" s="41"/>
      <c r="F97" s="50"/>
      <c r="G97" s="50"/>
      <c r="H97" s="50"/>
      <c r="I97" s="7"/>
      <c r="J97" s="7"/>
      <c r="K97" s="62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 ht="15.75" customHeight="1">
      <c r="A98" s="6">
        <v>80</v>
      </c>
      <c r="B98" s="7"/>
      <c r="C98" s="7"/>
      <c r="D98" s="7"/>
      <c r="E98" s="41"/>
      <c r="F98" s="50"/>
      <c r="G98" s="50"/>
      <c r="H98" s="50"/>
      <c r="I98" s="7"/>
      <c r="J98" s="7"/>
      <c r="K98" s="62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 ht="15.75" customHeight="1">
      <c r="A99" s="6">
        <v>81</v>
      </c>
      <c r="B99" s="7"/>
      <c r="C99" s="7"/>
      <c r="D99" s="7"/>
      <c r="E99" s="41"/>
      <c r="F99" s="50"/>
      <c r="G99" s="50"/>
      <c r="H99" s="50"/>
      <c r="I99" s="7"/>
      <c r="J99" s="7"/>
      <c r="K99" s="62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 ht="15.75" customHeight="1">
      <c r="A100" s="6">
        <v>82</v>
      </c>
      <c r="B100" s="7"/>
      <c r="C100" s="7"/>
      <c r="D100" s="7"/>
      <c r="E100" s="41"/>
      <c r="F100" s="50"/>
      <c r="G100" s="50"/>
      <c r="H100" s="50"/>
      <c r="I100" s="7"/>
      <c r="J100" s="7"/>
      <c r="K100" s="62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 ht="15.75" customHeight="1">
      <c r="A101" s="6">
        <v>83</v>
      </c>
      <c r="B101" s="7"/>
      <c r="C101" s="7"/>
      <c r="D101" s="7"/>
      <c r="E101" s="41"/>
      <c r="F101" s="50"/>
      <c r="G101" s="50"/>
      <c r="H101" s="50"/>
      <c r="I101" s="7"/>
      <c r="J101" s="7"/>
      <c r="K101" s="62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 ht="15.75" customHeight="1">
      <c r="A102" s="6">
        <v>84</v>
      </c>
      <c r="B102" s="7"/>
      <c r="C102" s="7"/>
      <c r="D102" s="7"/>
      <c r="E102" s="41"/>
      <c r="F102" s="50"/>
      <c r="G102" s="50"/>
      <c r="H102" s="50"/>
      <c r="I102" s="7"/>
      <c r="J102" s="7"/>
      <c r="K102" s="62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 ht="15.75" customHeight="1">
      <c r="A103" s="6">
        <v>85</v>
      </c>
      <c r="B103" s="7"/>
      <c r="C103" s="7"/>
      <c r="D103" s="7"/>
      <c r="E103" s="41"/>
      <c r="F103" s="50"/>
      <c r="G103" s="50"/>
      <c r="H103" s="50"/>
      <c r="I103" s="7"/>
      <c r="J103" s="7"/>
      <c r="K103" s="62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ht="15.75" customHeight="1">
      <c r="A104" s="6">
        <v>86</v>
      </c>
      <c r="B104" s="7"/>
      <c r="C104" s="50"/>
      <c r="D104" s="7"/>
      <c r="E104" s="41"/>
      <c r="F104" s="50"/>
      <c r="G104" s="50"/>
      <c r="H104" s="50"/>
      <c r="I104" s="7"/>
      <c r="J104" s="7"/>
      <c r="K104" s="62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ht="15.75" customHeight="1">
      <c r="A105" s="6">
        <v>87</v>
      </c>
      <c r="B105" s="7"/>
      <c r="C105" s="50"/>
      <c r="D105" s="7"/>
      <c r="E105" s="41"/>
      <c r="F105" s="50"/>
      <c r="G105" s="50"/>
      <c r="H105" s="50"/>
      <c r="I105" s="7"/>
      <c r="J105" s="7"/>
      <c r="K105" s="62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ht="15.75" customHeight="1">
      <c r="A106" s="6">
        <v>88</v>
      </c>
      <c r="B106" s="7"/>
      <c r="C106" s="7"/>
      <c r="D106" s="7"/>
      <c r="E106" s="41"/>
      <c r="F106" s="50"/>
      <c r="G106" s="50"/>
      <c r="H106" s="50"/>
      <c r="I106" s="7"/>
      <c r="J106" s="7"/>
      <c r="K106" s="62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 ht="15.75" customHeight="1">
      <c r="A107" s="6">
        <v>89</v>
      </c>
      <c r="B107" s="7"/>
      <c r="C107" s="50"/>
      <c r="D107" s="7"/>
      <c r="E107" s="41"/>
      <c r="F107" s="50"/>
      <c r="G107" s="50"/>
      <c r="H107" s="50"/>
      <c r="I107" s="7"/>
      <c r="J107" s="7"/>
      <c r="K107" s="62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 ht="15.75" customHeight="1">
      <c r="A108" s="6">
        <v>90</v>
      </c>
      <c r="B108" s="7"/>
      <c r="C108" s="50"/>
      <c r="D108" s="7"/>
      <c r="E108" s="41"/>
      <c r="F108" s="50"/>
      <c r="G108" s="50"/>
      <c r="H108" s="50"/>
      <c r="I108" s="7"/>
      <c r="J108" s="7"/>
      <c r="K108" s="62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 ht="15.75" customHeight="1">
      <c r="A109" s="6">
        <v>91</v>
      </c>
      <c r="B109" s="7"/>
      <c r="C109" s="50"/>
      <c r="D109" s="7"/>
      <c r="E109" s="41"/>
      <c r="F109" s="50"/>
      <c r="G109" s="50"/>
      <c r="H109" s="50"/>
      <c r="I109" s="7"/>
      <c r="J109" s="7"/>
      <c r="K109" s="62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 ht="15.75" customHeight="1">
      <c r="A110" s="6">
        <v>92</v>
      </c>
      <c r="B110" s="7"/>
      <c r="C110" s="7"/>
      <c r="D110" s="7"/>
      <c r="E110" s="41"/>
      <c r="F110" s="50"/>
      <c r="G110" s="50"/>
      <c r="H110" s="50"/>
      <c r="I110" s="7"/>
      <c r="J110" s="7"/>
      <c r="K110" s="62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 ht="15.75" customHeight="1">
      <c r="A111" s="6">
        <v>93</v>
      </c>
      <c r="B111" s="7"/>
      <c r="C111" s="50"/>
      <c r="D111" s="7"/>
      <c r="E111" s="41"/>
      <c r="F111" s="50"/>
      <c r="G111" s="50"/>
      <c r="H111" s="50"/>
      <c r="I111" s="7"/>
      <c r="J111" s="7"/>
      <c r="K111" s="62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 ht="15.75" customHeight="1">
      <c r="A112" s="6">
        <v>94</v>
      </c>
      <c r="B112" s="7"/>
      <c r="C112" s="7"/>
      <c r="D112" s="7"/>
      <c r="E112" s="41"/>
      <c r="F112" s="50"/>
      <c r="G112" s="50"/>
      <c r="H112" s="50"/>
      <c r="I112" s="7"/>
      <c r="J112" s="7"/>
      <c r="K112" s="62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ht="15.75" customHeight="1">
      <c r="A113" s="6">
        <v>95</v>
      </c>
      <c r="B113" s="50"/>
      <c r="C113" s="50"/>
      <c r="D113" s="50"/>
      <c r="E113" s="41"/>
      <c r="F113" s="50"/>
      <c r="G113" s="50"/>
      <c r="H113" s="50"/>
      <c r="I113" s="50"/>
      <c r="J113" s="7"/>
      <c r="K113" s="62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ht="15.75" customHeight="1">
      <c r="A114" s="6">
        <v>96</v>
      </c>
      <c r="B114" s="50"/>
      <c r="C114" s="50"/>
      <c r="D114" s="50"/>
      <c r="E114" s="50"/>
      <c r="F114" s="50"/>
      <c r="G114" s="50"/>
      <c r="H114" s="50"/>
      <c r="I114" s="50"/>
      <c r="J114" s="7"/>
      <c r="K114" s="62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ht="15.75" customHeight="1">
      <c r="A115" s="6">
        <v>97</v>
      </c>
      <c r="B115" s="50"/>
      <c r="C115" s="50"/>
      <c r="D115" s="50"/>
      <c r="E115" s="41"/>
      <c r="F115" s="50"/>
      <c r="G115" s="50"/>
      <c r="H115" s="50"/>
      <c r="I115" s="7"/>
      <c r="J115" s="7"/>
      <c r="K115" s="62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 ht="15.75" customHeight="1">
      <c r="A116" s="6">
        <v>98</v>
      </c>
      <c r="B116" s="7"/>
      <c r="C116" s="50"/>
      <c r="D116" s="50"/>
      <c r="E116" s="41"/>
      <c r="F116" s="50"/>
      <c r="G116" s="50"/>
      <c r="H116" s="50"/>
      <c r="I116" s="7"/>
      <c r="J116" s="7"/>
      <c r="K116" s="62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 ht="15.75" customHeight="1">
      <c r="A117" s="6">
        <v>99</v>
      </c>
      <c r="B117" s="7"/>
      <c r="C117" s="7"/>
      <c r="D117" s="7"/>
      <c r="E117" s="41"/>
      <c r="F117" s="7"/>
      <c r="G117" s="7"/>
      <c r="H117" s="7"/>
      <c r="I117" s="7"/>
      <c r="J117" s="7"/>
      <c r="K117" s="62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 ht="15.75" customHeight="1">
      <c r="A118" s="6">
        <v>100</v>
      </c>
      <c r="B118" s="7"/>
      <c r="C118" s="7"/>
      <c r="D118" s="7"/>
      <c r="E118" s="7"/>
      <c r="F118" s="7"/>
      <c r="G118" s="7"/>
      <c r="H118" s="7"/>
      <c r="I118" s="7"/>
      <c r="J118" s="7"/>
      <c r="K118" s="62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 ht="15.75" customHeight="1">
      <c r="A119" s="6">
        <v>101</v>
      </c>
      <c r="B119" s="7"/>
      <c r="C119" s="7"/>
      <c r="D119" s="7"/>
      <c r="E119" s="41"/>
      <c r="F119" s="7"/>
      <c r="G119" s="7"/>
      <c r="H119" s="7"/>
      <c r="I119" s="7"/>
      <c r="J119" s="7"/>
      <c r="K119" s="62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 ht="15.75" customHeight="1">
      <c r="A120" s="6">
        <v>102</v>
      </c>
      <c r="B120" s="7"/>
      <c r="C120" s="7"/>
      <c r="D120" s="7"/>
      <c r="E120" s="41"/>
      <c r="F120" s="7"/>
      <c r="G120" s="7"/>
      <c r="H120" s="7"/>
      <c r="I120" s="7"/>
      <c r="J120" s="7"/>
      <c r="K120" s="62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 ht="15.75" customHeight="1">
      <c r="A121" s="6">
        <v>103</v>
      </c>
      <c r="B121" s="7"/>
      <c r="C121" s="7"/>
      <c r="D121" s="7"/>
      <c r="E121" s="41"/>
      <c r="F121" s="7"/>
      <c r="G121" s="7"/>
      <c r="H121" s="7"/>
      <c r="I121" s="7"/>
      <c r="J121" s="7"/>
      <c r="K121" s="62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ht="15.75" customHeight="1">
      <c r="A122" s="6">
        <v>104</v>
      </c>
      <c r="B122" s="7"/>
      <c r="C122" s="7"/>
      <c r="D122" s="7"/>
      <c r="E122" s="41"/>
      <c r="F122" s="7"/>
      <c r="G122" s="7"/>
      <c r="H122" s="7"/>
      <c r="I122" s="7"/>
      <c r="J122" s="7"/>
      <c r="K122" s="62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ht="15.75" customHeight="1">
      <c r="A123" s="6">
        <v>105</v>
      </c>
      <c r="B123" s="7"/>
      <c r="C123" s="7"/>
      <c r="D123" s="7"/>
      <c r="E123" s="41"/>
      <c r="F123" s="7"/>
      <c r="G123" s="7"/>
      <c r="H123" s="7"/>
      <c r="I123" s="7"/>
      <c r="J123" s="7"/>
      <c r="K123" s="62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ht="15.75" customHeight="1">
      <c r="A124" s="6">
        <v>106</v>
      </c>
      <c r="B124" s="7"/>
      <c r="C124" s="7"/>
      <c r="D124" s="7"/>
      <c r="E124" s="41"/>
      <c r="F124" s="7"/>
      <c r="G124" s="7"/>
      <c r="H124" s="7"/>
      <c r="I124" s="7"/>
      <c r="J124" s="7"/>
      <c r="K124" s="62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 ht="15.75" customHeight="1">
      <c r="A125" s="6">
        <v>107</v>
      </c>
      <c r="B125" s="7"/>
      <c r="C125" s="7"/>
      <c r="D125" s="7"/>
      <c r="E125" s="41"/>
      <c r="F125" s="7"/>
      <c r="G125" s="7"/>
      <c r="H125" s="7"/>
      <c r="I125" s="7"/>
      <c r="J125" s="7"/>
      <c r="K125" s="62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 ht="15.75" customHeight="1">
      <c r="A126" s="6">
        <v>108</v>
      </c>
      <c r="B126" s="7"/>
      <c r="C126" s="7"/>
      <c r="D126" s="7"/>
      <c r="E126" s="41"/>
      <c r="F126" s="7"/>
      <c r="G126" s="7"/>
      <c r="H126" s="7"/>
      <c r="I126" s="7"/>
      <c r="J126" s="7"/>
      <c r="K126" s="62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 ht="15.75" customHeight="1">
      <c r="A127" s="6">
        <v>109</v>
      </c>
      <c r="B127" s="7"/>
      <c r="C127" s="7"/>
      <c r="D127" s="7"/>
      <c r="E127" s="41"/>
      <c r="F127" s="7"/>
      <c r="G127" s="7"/>
      <c r="H127" s="7"/>
      <c r="I127" s="7"/>
      <c r="J127" s="7"/>
      <c r="K127" s="62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 ht="15.75" customHeight="1">
      <c r="A128" s="6">
        <v>110</v>
      </c>
      <c r="B128" s="7"/>
      <c r="C128" s="7"/>
      <c r="D128" s="7"/>
      <c r="E128" s="41"/>
      <c r="F128" s="7"/>
      <c r="G128" s="7"/>
      <c r="H128" s="7"/>
      <c r="I128" s="7"/>
      <c r="J128" s="7"/>
      <c r="K128" s="62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 ht="15.75" customHeight="1">
      <c r="A129" s="6">
        <v>111</v>
      </c>
      <c r="B129" s="7"/>
      <c r="C129" s="7"/>
      <c r="D129" s="7"/>
      <c r="E129" s="41"/>
      <c r="F129" s="7"/>
      <c r="G129" s="7"/>
      <c r="H129" s="7"/>
      <c r="I129" s="7"/>
      <c r="J129" s="7"/>
      <c r="K129" s="62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 ht="15.75" customHeight="1">
      <c r="A130" s="6">
        <v>112</v>
      </c>
      <c r="B130" s="7"/>
      <c r="C130" s="7"/>
      <c r="D130" s="7"/>
      <c r="E130" s="41"/>
      <c r="F130" s="7"/>
      <c r="G130" s="7"/>
      <c r="H130" s="7"/>
      <c r="I130" s="7"/>
      <c r="J130" s="7"/>
      <c r="K130" s="62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 ht="15.75" customHeight="1">
      <c r="A131" s="6">
        <v>113</v>
      </c>
      <c r="B131" s="7"/>
      <c r="C131" s="7"/>
      <c r="D131" s="7"/>
      <c r="E131" s="41"/>
      <c r="F131" s="7"/>
      <c r="G131" s="7"/>
      <c r="H131" s="7"/>
      <c r="I131" s="7"/>
      <c r="J131" s="7"/>
      <c r="K131" s="62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 ht="15.75" customHeight="1">
      <c r="A132" s="6">
        <v>114</v>
      </c>
      <c r="B132" s="7"/>
      <c r="C132" s="7"/>
      <c r="D132" s="7"/>
      <c r="E132" s="41"/>
      <c r="F132" s="7"/>
      <c r="G132" s="7"/>
      <c r="H132" s="7"/>
      <c r="I132" s="7"/>
      <c r="J132" s="7"/>
      <c r="K132" s="62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 ht="15.75" customHeight="1">
      <c r="A133" s="6">
        <v>115</v>
      </c>
      <c r="B133" s="7"/>
      <c r="C133" s="7"/>
      <c r="D133" s="7"/>
      <c r="E133" s="41"/>
      <c r="F133" s="7"/>
      <c r="G133" s="7"/>
      <c r="H133" s="7"/>
      <c r="I133" s="7"/>
      <c r="J133" s="7"/>
      <c r="K133" s="62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 ht="15.75" customHeight="1">
      <c r="A134" s="6">
        <v>116</v>
      </c>
      <c r="B134" s="7"/>
      <c r="C134" s="7"/>
      <c r="D134" s="7"/>
      <c r="E134" s="41"/>
      <c r="F134" s="7"/>
      <c r="G134" s="7"/>
      <c r="H134" s="7"/>
      <c r="I134" s="7"/>
      <c r="J134" s="7"/>
      <c r="K134" s="62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 ht="15.75" customHeight="1">
      <c r="A135" s="6">
        <v>117</v>
      </c>
      <c r="B135" s="7"/>
      <c r="C135" s="7"/>
      <c r="D135" s="7"/>
      <c r="E135" s="41"/>
      <c r="F135" s="7"/>
      <c r="G135" s="7"/>
      <c r="H135" s="7"/>
      <c r="I135" s="7"/>
      <c r="J135" s="7"/>
      <c r="K135" s="62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 ht="15.75" customHeight="1">
      <c r="A136" s="6">
        <v>118</v>
      </c>
      <c r="B136" s="7"/>
      <c r="C136" s="7"/>
      <c r="D136" s="7"/>
      <c r="E136" s="41"/>
      <c r="F136" s="7"/>
      <c r="G136" s="7"/>
      <c r="H136" s="7"/>
      <c r="I136" s="7"/>
      <c r="J136" s="7"/>
      <c r="K136" s="62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 ht="15.75" customHeight="1">
      <c r="A137" s="6">
        <v>119</v>
      </c>
      <c r="B137" s="7"/>
      <c r="C137" s="7"/>
      <c r="D137" s="7"/>
      <c r="E137" s="41"/>
      <c r="F137" s="7"/>
      <c r="G137" s="7"/>
      <c r="H137" s="7"/>
      <c r="I137" s="7"/>
      <c r="J137" s="7"/>
      <c r="K137" s="62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 ht="15.75" customHeight="1">
      <c r="A138" s="6">
        <v>120</v>
      </c>
      <c r="B138" s="7"/>
      <c r="C138" s="7"/>
      <c r="D138" s="7"/>
      <c r="E138" s="41"/>
      <c r="F138" s="7"/>
      <c r="G138" s="7"/>
      <c r="H138" s="7"/>
      <c r="I138" s="7"/>
      <c r="J138" s="7"/>
      <c r="K138" s="62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 ht="15.75" customHeight="1">
      <c r="A139" s="6">
        <v>121</v>
      </c>
      <c r="B139" s="7"/>
      <c r="C139" s="7"/>
      <c r="D139" s="7"/>
      <c r="E139" s="7"/>
      <c r="F139" s="7"/>
      <c r="G139" s="7"/>
      <c r="H139" s="7"/>
      <c r="I139" s="7"/>
      <c r="J139" s="7"/>
      <c r="K139" s="62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 ht="15.75" customHeight="1">
      <c r="A140" s="6">
        <v>122</v>
      </c>
      <c r="B140" s="7"/>
      <c r="C140" s="7"/>
      <c r="D140" s="7"/>
      <c r="E140" s="41"/>
      <c r="F140" s="7"/>
      <c r="G140" s="7"/>
      <c r="H140" s="7"/>
      <c r="I140" s="7"/>
      <c r="J140" s="7"/>
      <c r="K140" s="62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 ht="15.75" customHeight="1">
      <c r="A141" s="6">
        <v>123</v>
      </c>
      <c r="B141" s="7"/>
      <c r="C141" s="7"/>
      <c r="D141" s="7"/>
      <c r="E141" s="41"/>
      <c r="F141" s="7"/>
      <c r="G141" s="7"/>
      <c r="H141" s="7"/>
      <c r="I141" s="7"/>
      <c r="J141" s="7"/>
      <c r="K141" s="62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 ht="15.75" customHeight="1">
      <c r="A142" s="6">
        <v>124</v>
      </c>
      <c r="B142" s="7"/>
      <c r="C142" s="7"/>
      <c r="D142" s="7"/>
      <c r="E142" s="7"/>
      <c r="F142" s="7"/>
      <c r="G142" s="7"/>
      <c r="H142" s="7"/>
      <c r="I142" s="7"/>
      <c r="J142" s="7"/>
      <c r="K142" s="62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 ht="15.75" customHeight="1">
      <c r="A143" s="6">
        <v>125</v>
      </c>
      <c r="B143" s="7"/>
      <c r="C143" s="7"/>
      <c r="D143" s="7"/>
      <c r="E143" s="7"/>
      <c r="F143" s="7"/>
      <c r="G143" s="7"/>
      <c r="H143" s="7"/>
      <c r="I143" s="7"/>
      <c r="J143" s="7"/>
      <c r="K143" s="62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 ht="15.75" customHeight="1">
      <c r="A144" s="6">
        <v>126</v>
      </c>
      <c r="B144" s="7"/>
      <c r="C144" s="7"/>
      <c r="D144" s="7"/>
      <c r="E144" s="7"/>
      <c r="F144" s="7"/>
      <c r="G144" s="7"/>
      <c r="H144" s="7"/>
      <c r="I144" s="7"/>
      <c r="J144" s="7"/>
      <c r="K144" s="62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 ht="15.75" customHeight="1">
      <c r="A145" s="6">
        <v>127</v>
      </c>
      <c r="B145" s="7"/>
      <c r="C145" s="7"/>
      <c r="D145" s="7"/>
      <c r="E145" s="7"/>
      <c r="F145" s="7"/>
      <c r="G145" s="7"/>
      <c r="H145" s="7"/>
      <c r="I145" s="7"/>
      <c r="J145" s="7"/>
      <c r="K145" s="62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 ht="15.75" customHeight="1">
      <c r="A146" s="6">
        <v>128</v>
      </c>
      <c r="B146" s="7"/>
      <c r="C146" s="7"/>
      <c r="D146" s="7"/>
      <c r="E146" s="7"/>
      <c r="F146" s="7"/>
      <c r="G146" s="7"/>
      <c r="H146" s="7"/>
      <c r="I146" s="7"/>
      <c r="J146" s="7"/>
      <c r="K146" s="62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 ht="15.75" customHeight="1">
      <c r="A147" s="6">
        <v>129</v>
      </c>
      <c r="B147" s="7"/>
      <c r="C147" s="7"/>
      <c r="D147" s="7"/>
      <c r="E147" s="7"/>
      <c r="F147" s="7"/>
      <c r="G147" s="7"/>
      <c r="H147" s="7"/>
      <c r="I147" s="7"/>
      <c r="J147" s="7"/>
      <c r="K147" s="62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 ht="15.75" customHeight="1">
      <c r="A148" s="6">
        <v>130</v>
      </c>
      <c r="B148" s="7"/>
      <c r="C148" s="7"/>
      <c r="D148" s="7"/>
      <c r="E148" s="7"/>
      <c r="F148" s="7"/>
      <c r="G148" s="7"/>
      <c r="H148" s="7"/>
      <c r="I148" s="7"/>
      <c r="J148" s="7"/>
      <c r="K148" s="62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 ht="15.75" customHeight="1">
      <c r="A149" s="6">
        <v>131</v>
      </c>
      <c r="B149" s="7"/>
      <c r="C149" s="7"/>
      <c r="D149" s="7"/>
      <c r="E149" s="7"/>
      <c r="F149" s="7"/>
      <c r="G149" s="7"/>
      <c r="H149" s="7"/>
      <c r="I149" s="7"/>
      <c r="J149" s="7"/>
      <c r="K149" s="62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 ht="15.75" customHeight="1">
      <c r="A150" s="6">
        <v>132</v>
      </c>
      <c r="B150" s="7"/>
      <c r="C150" s="7"/>
      <c r="D150" s="7"/>
      <c r="E150" s="7"/>
      <c r="F150" s="7"/>
      <c r="G150" s="7"/>
      <c r="H150" s="7"/>
      <c r="I150" s="7"/>
      <c r="J150" s="7"/>
      <c r="K150" s="62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 ht="15.75" customHeight="1">
      <c r="A151" s="6">
        <v>133</v>
      </c>
      <c r="B151" s="7"/>
      <c r="C151" s="7"/>
      <c r="D151" s="7"/>
      <c r="E151" s="7"/>
      <c r="F151" s="7"/>
      <c r="G151" s="7"/>
      <c r="H151" s="7"/>
      <c r="I151" s="7"/>
      <c r="J151" s="7"/>
      <c r="K151" s="62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 ht="15.75" customHeight="1">
      <c r="A152" s="6">
        <v>134</v>
      </c>
      <c r="B152" s="7"/>
      <c r="C152" s="7"/>
      <c r="D152" s="7"/>
      <c r="E152" s="7"/>
      <c r="F152" s="7"/>
      <c r="G152" s="7"/>
      <c r="H152" s="7"/>
      <c r="I152" s="7"/>
      <c r="J152" s="7"/>
      <c r="K152" s="62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 ht="15.75" customHeight="1">
      <c r="A153" s="6">
        <v>135</v>
      </c>
      <c r="B153" s="7"/>
      <c r="C153" s="7"/>
      <c r="D153" s="7"/>
      <c r="E153" s="7"/>
      <c r="F153" s="7"/>
      <c r="G153" s="7"/>
      <c r="H153" s="7"/>
      <c r="I153" s="7"/>
      <c r="J153" s="7"/>
      <c r="K153" s="62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 ht="15.75" customHeight="1">
      <c r="A154" s="6">
        <v>136</v>
      </c>
      <c r="B154" s="7"/>
      <c r="C154" s="7"/>
      <c r="D154" s="7"/>
      <c r="E154" s="7"/>
      <c r="F154" s="7"/>
      <c r="G154" s="7"/>
      <c r="H154" s="7"/>
      <c r="I154" s="7"/>
      <c r="J154" s="7"/>
      <c r="K154" s="62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 ht="15.75" customHeight="1">
      <c r="A155" s="6">
        <v>137</v>
      </c>
      <c r="B155" s="7"/>
      <c r="C155" s="7"/>
      <c r="D155" s="7"/>
      <c r="E155" s="7"/>
      <c r="F155" s="7"/>
      <c r="G155" s="7"/>
      <c r="H155" s="7"/>
      <c r="I155" s="7"/>
      <c r="J155" s="7"/>
      <c r="K155" s="62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 ht="15.75" customHeight="1">
      <c r="A156" s="6">
        <v>138</v>
      </c>
      <c r="B156" s="7"/>
      <c r="C156" s="7"/>
      <c r="D156" s="7"/>
      <c r="E156" s="7"/>
      <c r="F156" s="7"/>
      <c r="G156" s="7"/>
      <c r="H156" s="7"/>
      <c r="I156" s="7"/>
      <c r="J156" s="7"/>
      <c r="K156" s="62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 ht="15.75" customHeight="1">
      <c r="A157" s="6">
        <v>139</v>
      </c>
      <c r="B157" s="7"/>
      <c r="C157" s="7"/>
      <c r="D157" s="7"/>
      <c r="E157" s="7"/>
      <c r="F157" s="7"/>
      <c r="G157" s="7"/>
      <c r="H157" s="7"/>
      <c r="I157" s="7"/>
      <c r="J157" s="7"/>
      <c r="K157" s="62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 ht="15.75" customHeight="1">
      <c r="A158" s="6">
        <v>140</v>
      </c>
      <c r="B158" s="7"/>
      <c r="C158" s="7"/>
      <c r="D158" s="7"/>
      <c r="E158" s="7"/>
      <c r="F158" s="7"/>
      <c r="G158" s="7"/>
      <c r="H158" s="7"/>
      <c r="I158" s="7"/>
      <c r="J158" s="7"/>
      <c r="K158" s="62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 ht="15.75" customHeight="1">
      <c r="A159" s="6">
        <v>141</v>
      </c>
      <c r="B159" s="7"/>
      <c r="C159" s="7"/>
      <c r="D159" s="7"/>
      <c r="E159" s="7"/>
      <c r="F159" s="7"/>
      <c r="G159" s="7"/>
      <c r="H159" s="7"/>
      <c r="I159" s="7"/>
      <c r="J159" s="7"/>
      <c r="K159" s="62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 ht="15.75" customHeight="1">
      <c r="A160" s="6">
        <v>142</v>
      </c>
      <c r="B160" s="7"/>
      <c r="C160" s="7"/>
      <c r="D160" s="7"/>
      <c r="E160" s="7"/>
      <c r="F160" s="7"/>
      <c r="G160" s="7"/>
      <c r="H160" s="7"/>
      <c r="I160" s="7"/>
      <c r="J160" s="7"/>
      <c r="K160" s="62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 ht="15.75" customHeight="1">
      <c r="A161" s="6">
        <v>143</v>
      </c>
      <c r="B161" s="7"/>
      <c r="C161" s="7"/>
      <c r="D161" s="7"/>
      <c r="E161" s="7"/>
      <c r="F161" s="7"/>
      <c r="G161" s="7"/>
      <c r="H161" s="7"/>
      <c r="I161" s="7"/>
      <c r="J161" s="7"/>
      <c r="K161" s="62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 ht="15.75" customHeight="1">
      <c r="A162" s="6">
        <v>144</v>
      </c>
      <c r="B162" s="7"/>
      <c r="C162" s="7"/>
      <c r="D162" s="7"/>
      <c r="E162" s="7"/>
      <c r="F162" s="7"/>
      <c r="G162" s="7"/>
      <c r="H162" s="7"/>
      <c r="I162" s="7"/>
      <c r="J162" s="7"/>
      <c r="K162" s="62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1:25" ht="15.75" customHeight="1">
      <c r="A163" s="6">
        <v>145</v>
      </c>
      <c r="B163" s="7"/>
      <c r="C163" s="7"/>
      <c r="D163" s="7"/>
      <c r="E163" s="7"/>
      <c r="F163" s="7"/>
      <c r="G163" s="7"/>
      <c r="H163" s="7"/>
      <c r="I163" s="7"/>
      <c r="J163" s="7"/>
      <c r="K163" s="62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 ht="15.75" customHeight="1">
      <c r="A164" s="6">
        <v>146</v>
      </c>
      <c r="B164" s="7"/>
      <c r="C164" s="7"/>
      <c r="D164" s="7"/>
      <c r="E164" s="7"/>
      <c r="F164" s="7"/>
      <c r="G164" s="7"/>
      <c r="H164" s="7"/>
      <c r="I164" s="7"/>
      <c r="J164" s="7"/>
      <c r="K164" s="62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 ht="15.75" customHeight="1">
      <c r="A165" s="6">
        <v>147</v>
      </c>
      <c r="B165" s="7"/>
      <c r="C165" s="7"/>
      <c r="D165" s="7"/>
      <c r="E165" s="7"/>
      <c r="F165" s="7"/>
      <c r="G165" s="7"/>
      <c r="H165" s="7"/>
      <c r="I165" s="7"/>
      <c r="J165" s="7"/>
      <c r="K165" s="62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 ht="15.75" customHeight="1">
      <c r="A166" s="6">
        <v>148</v>
      </c>
      <c r="B166" s="7"/>
      <c r="C166" s="7"/>
      <c r="D166" s="7"/>
      <c r="E166" s="7"/>
      <c r="F166" s="7"/>
      <c r="G166" s="7"/>
      <c r="H166" s="7"/>
      <c r="I166" s="7"/>
      <c r="J166" s="7"/>
      <c r="K166" s="62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 ht="15.75" customHeight="1">
      <c r="A167" s="6">
        <v>149</v>
      </c>
      <c r="B167" s="7"/>
      <c r="C167" s="7"/>
      <c r="D167" s="7"/>
      <c r="E167" s="7"/>
      <c r="F167" s="7"/>
      <c r="G167" s="7"/>
      <c r="H167" s="7"/>
      <c r="I167" s="7"/>
      <c r="J167" s="7"/>
      <c r="K167" s="62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 ht="15.75" customHeight="1">
      <c r="A168" s="6">
        <v>150</v>
      </c>
      <c r="B168" s="7"/>
      <c r="C168" s="7"/>
      <c r="D168" s="7"/>
      <c r="E168" s="7"/>
      <c r="F168" s="7"/>
      <c r="G168" s="7"/>
      <c r="H168" s="7"/>
      <c r="I168" s="7"/>
      <c r="J168" s="7"/>
      <c r="K168" s="62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 ht="15.75" customHeight="1">
      <c r="A169" s="6"/>
      <c r="B169" s="7"/>
      <c r="C169" s="7"/>
      <c r="D169" s="7"/>
      <c r="E169" s="7"/>
      <c r="F169" s="7"/>
      <c r="G169" s="7"/>
      <c r="H169" s="7"/>
      <c r="I169" s="7"/>
      <c r="J169" s="7"/>
      <c r="K169" s="62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 ht="15.75" customHeight="1">
      <c r="A170" s="6"/>
      <c r="B170" s="7"/>
      <c r="C170" s="7"/>
      <c r="D170" s="7"/>
      <c r="E170" s="7"/>
      <c r="F170" s="7"/>
      <c r="G170" s="7"/>
      <c r="H170" s="7"/>
      <c r="I170" s="7"/>
      <c r="J170" s="7"/>
      <c r="K170" s="62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 ht="15.75" customHeight="1">
      <c r="A171" s="6"/>
      <c r="B171" s="7"/>
      <c r="C171" s="7"/>
      <c r="D171" s="7"/>
      <c r="E171" s="7"/>
      <c r="F171" s="7"/>
      <c r="G171" s="7"/>
      <c r="H171" s="7"/>
      <c r="I171" s="7"/>
      <c r="J171" s="7"/>
      <c r="K171" s="62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62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62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62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62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62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62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62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62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62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62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62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62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62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62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62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62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62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62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62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62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62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62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62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62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62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62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62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62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62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62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62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62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62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62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62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62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62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62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62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62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62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62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62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62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62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62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62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62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62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spans="1:25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62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spans="1:25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62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1:25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62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1:25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62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spans="1: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62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spans="1:25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62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spans="1:25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62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spans="1:25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62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spans="1:25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62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1:25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62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spans="1:25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62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1:25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62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spans="1:25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62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spans="1:25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62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spans="1:2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62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spans="1:25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62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spans="1:25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62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1:25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62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1:25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62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1:25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62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spans="1:25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62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spans="1:25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62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spans="1:25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62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1:25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62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1:2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62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1:25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62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spans="1:25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62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spans="1:25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62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1:25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62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1:25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62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spans="1:25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62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1:25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62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spans="1:25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62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spans="1:25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62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spans="1:2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62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1:25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62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spans="1:25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62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5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62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spans="1:25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62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spans="1:25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62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spans="1:25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62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spans="1:25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62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spans="1:25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62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spans="1:25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62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spans="1:2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62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spans="1:25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62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spans="1:25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62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spans="1:25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62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spans="1:25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62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spans="1:25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62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spans="1:25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62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spans="1:25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62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spans="1:25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62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spans="1:25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62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spans="1:2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62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spans="1:25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62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spans="1:25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62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spans="1:25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62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spans="1:25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62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spans="1:25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62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spans="1:25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62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spans="1:25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62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spans="1:25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62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spans="1:25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62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spans="1:2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62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spans="1:25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62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spans="1:25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62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spans="1:25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62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spans="1:25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62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spans="1:25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62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spans="1:25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62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spans="1:25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62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spans="1:25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62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spans="1:25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62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spans="1:2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62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spans="1:25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62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spans="1:25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62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spans="1:25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62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spans="1:25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62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spans="1:25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62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spans="1:25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62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spans="1:25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62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spans="1:25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62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spans="1:25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62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spans="1:2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62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spans="1:25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62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spans="1:25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62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spans="1:25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62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spans="1:25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62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spans="1:25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62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spans="1:25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62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spans="1:25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62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spans="1:25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62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spans="1:25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62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spans="1:2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62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spans="1:25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62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spans="1:25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62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spans="1:25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62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spans="1:25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62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spans="1:25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62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spans="1:25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62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spans="1:25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62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spans="1:25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62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spans="1:25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62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spans="1: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62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spans="1:25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62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spans="1:25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62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spans="1:25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62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spans="1:25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62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spans="1:25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62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spans="1:25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62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spans="1:25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62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spans="1:25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62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spans="1:25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62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spans="1:2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62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spans="1:25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62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spans="1:25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62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spans="1:25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62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spans="1:25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62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spans="1:25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62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spans="1:25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62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spans="1:25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62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spans="1:25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62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spans="1:25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62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spans="1:2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62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spans="1:25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62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spans="1:25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62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spans="1:25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62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spans="1:25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62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spans="1:25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62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spans="1:25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62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spans="1:25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62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spans="1:25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62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spans="1:25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62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spans="1:2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62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spans="1:25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62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spans="1:25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62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spans="1:25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62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spans="1:25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62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spans="1:25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62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spans="1:25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62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spans="1:25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62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spans="1:25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62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spans="1:25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62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spans="1:2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62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spans="1:25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62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spans="1:25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62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spans="1:25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62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I2"/>
    <mergeCell ref="A3:I3"/>
    <mergeCell ref="A4:E4"/>
    <mergeCell ref="F4:I4"/>
    <mergeCell ref="A16:I16"/>
    <mergeCell ref="A17:D17"/>
    <mergeCell ref="E17:I17"/>
  </mergeCells>
  <dataValidations count="4">
    <dataValidation type="list" allowBlank="1" showErrorMessage="1" sqref="H97:H100 H122:H125" xr:uid="{6856DF3F-60C2-49D7-9762-1ADD0B99F029}">
      <formula1>"Pending,Sent,Followed Up,Responded"</formula1>
    </dataValidation>
    <dataValidation type="list" allowBlank="1" showErrorMessage="1" sqref="H19:H43 H45:H52 H54:H55 H57:H60 H62:H71 H73:H90 H92:H95 H101:H120 H126:H168" xr:uid="{BF9132D3-AB8B-48A3-AFC7-1D73B56C9D55}">
      <formula1>"Pending,Sent,Followed Up,Responded,Completed"</formula1>
    </dataValidation>
    <dataValidation type="list" allowBlank="1" showErrorMessage="1" sqref="H72" xr:uid="{089A868D-724D-435E-8EEA-0F9AD5EEDBD2}">
      <formula1>"Pending,Sent,Followed Up,Responded,OOO"</formula1>
    </dataValidation>
    <dataValidation type="list" allowBlank="1" showErrorMessage="1" sqref="H44 H53 H56 H61 H91 H96 H121" xr:uid="{D818A9BF-6372-428E-9C52-5F68B4BB22FA}">
      <formula1>"Pending,Sent,Followed Up,Responded,Bounced"</formula1>
    </dataValidation>
  </dataValidations>
  <hyperlinks>
    <hyperlink ref="A1" location="OVERVIEW!A1" display="Evercore Application Tracker" xr:uid="{E58ED9CD-5ACC-4169-8534-4DAA03AF3FB2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Y1000"/>
  <sheetViews>
    <sheetView workbookViewId="0">
      <pane ySplit="2" topLeftCell="A3" activePane="bottomLeft" state="frozen"/>
      <selection pane="bottomLeft" activeCell="K21" sqref="K21"/>
    </sheetView>
  </sheetViews>
  <sheetFormatPr defaultColWidth="12.6328125" defaultRowHeight="15" customHeight="1"/>
  <cols>
    <col min="1" max="1" width="3.90625" customWidth="1"/>
    <col min="2" max="2" width="23.36328125" customWidth="1"/>
    <col min="3" max="3" width="29.26953125" customWidth="1"/>
    <col min="4" max="4" width="14.90625" customWidth="1"/>
    <col min="5" max="6" width="14" customWidth="1"/>
    <col min="7" max="8" width="12.26953125" customWidth="1"/>
    <col min="9" max="9" width="50.90625" customWidth="1"/>
  </cols>
  <sheetData>
    <row r="1" spans="1:25" ht="24.75" customHeight="1">
      <c r="A1" s="102" t="s">
        <v>744</v>
      </c>
      <c r="B1" s="72"/>
      <c r="C1" s="72"/>
      <c r="D1" s="72"/>
      <c r="E1" s="72"/>
      <c r="F1" s="72"/>
      <c r="G1" s="72"/>
      <c r="H1" s="72"/>
      <c r="I1" s="72"/>
      <c r="J1" s="7"/>
      <c r="K1" s="62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15.75" customHeight="1">
      <c r="A2" s="72"/>
      <c r="B2" s="72"/>
      <c r="C2" s="72"/>
      <c r="D2" s="72"/>
      <c r="E2" s="72"/>
      <c r="F2" s="72"/>
      <c r="G2" s="72"/>
      <c r="H2" s="72"/>
      <c r="I2" s="72"/>
      <c r="J2" s="7"/>
      <c r="K2" s="62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10.5" customHeight="1">
      <c r="A3" s="97"/>
      <c r="B3" s="72"/>
      <c r="C3" s="72"/>
      <c r="D3" s="72"/>
      <c r="E3" s="72"/>
      <c r="F3" s="72"/>
      <c r="G3" s="72"/>
      <c r="H3" s="72"/>
      <c r="I3" s="72"/>
      <c r="J3" s="7"/>
      <c r="K3" s="62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15.75" customHeight="1">
      <c r="A4" s="99" t="s">
        <v>564</v>
      </c>
      <c r="B4" s="99"/>
      <c r="C4" s="99"/>
      <c r="D4" s="99"/>
      <c r="E4" s="99"/>
      <c r="F4" s="100" t="s">
        <v>566</v>
      </c>
      <c r="G4" s="72"/>
      <c r="H4" s="72"/>
      <c r="I4" s="72"/>
      <c r="J4" s="63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5.75" customHeight="1">
      <c r="A5" s="51" t="s">
        <v>6</v>
      </c>
      <c r="B5" s="52" t="s">
        <v>567</v>
      </c>
      <c r="C5" s="52" t="s">
        <v>568</v>
      </c>
      <c r="D5" s="52" t="s">
        <v>569</v>
      </c>
      <c r="E5" s="52" t="s">
        <v>571</v>
      </c>
      <c r="F5" s="52" t="s">
        <v>572</v>
      </c>
      <c r="G5" s="52" t="s">
        <v>566</v>
      </c>
      <c r="H5" s="52" t="s">
        <v>573</v>
      </c>
      <c r="I5" s="52" t="s">
        <v>574</v>
      </c>
      <c r="J5" s="63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15.75" customHeight="1">
      <c r="A6" s="7">
        <v>1</v>
      </c>
      <c r="B6" s="7"/>
      <c r="C6" s="7"/>
      <c r="D6" s="7"/>
      <c r="E6" s="14"/>
      <c r="F6" s="14"/>
      <c r="G6" s="53"/>
      <c r="H6" s="7"/>
      <c r="I6" s="7"/>
      <c r="J6" s="63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15.75" customHeight="1">
      <c r="A7" s="7">
        <v>2</v>
      </c>
      <c r="B7" s="7"/>
      <c r="C7" s="7"/>
      <c r="D7" s="7"/>
      <c r="E7" s="14"/>
      <c r="F7" s="14"/>
      <c r="G7" s="53"/>
      <c r="H7" s="7"/>
      <c r="I7" s="7"/>
      <c r="J7" s="63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15.75" customHeight="1">
      <c r="A8" s="7">
        <v>3</v>
      </c>
      <c r="B8" s="7"/>
      <c r="C8" s="7"/>
      <c r="D8" s="7"/>
      <c r="E8" s="14"/>
      <c r="F8" s="14"/>
      <c r="G8" s="53"/>
      <c r="H8" s="7"/>
      <c r="I8" s="14"/>
      <c r="J8" s="63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5.75" customHeight="1">
      <c r="A9" s="7">
        <v>4</v>
      </c>
      <c r="B9" s="7"/>
      <c r="C9" s="7"/>
      <c r="D9" s="7"/>
      <c r="E9" s="14"/>
      <c r="F9" s="7"/>
      <c r="G9" s="53"/>
      <c r="H9" s="7"/>
      <c r="I9" s="7"/>
      <c r="J9" s="63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5.75" customHeight="1">
      <c r="A10" s="7">
        <v>5</v>
      </c>
      <c r="B10" s="7"/>
      <c r="C10" s="7"/>
      <c r="D10" s="7"/>
      <c r="E10" s="14"/>
      <c r="F10" s="7"/>
      <c r="G10" s="53"/>
      <c r="H10" s="7"/>
      <c r="I10" s="7"/>
      <c r="J10" s="63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5.75" customHeight="1">
      <c r="A11" s="7">
        <v>6</v>
      </c>
      <c r="B11" s="7"/>
      <c r="C11" s="7"/>
      <c r="D11" s="7"/>
      <c r="E11" s="14"/>
      <c r="F11" s="7"/>
      <c r="G11" s="53"/>
      <c r="H11" s="7"/>
      <c r="I11" s="7"/>
      <c r="J11" s="63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15.75" customHeight="1">
      <c r="A12" s="7">
        <v>7</v>
      </c>
      <c r="B12" s="7"/>
      <c r="C12" s="7"/>
      <c r="D12" s="7"/>
      <c r="E12" s="14"/>
      <c r="F12" s="7"/>
      <c r="G12" s="53"/>
      <c r="H12" s="7"/>
      <c r="I12" s="7"/>
      <c r="J12" s="63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15.75" customHeight="1">
      <c r="A13" s="7">
        <v>8</v>
      </c>
      <c r="B13" s="7"/>
      <c r="C13" s="7"/>
      <c r="D13" s="7"/>
      <c r="E13" s="14"/>
      <c r="F13" s="7"/>
      <c r="G13" s="53"/>
      <c r="H13" s="7"/>
      <c r="I13" s="7"/>
      <c r="J13" s="63"/>
      <c r="K13" s="64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15.75" customHeight="1">
      <c r="A14" s="7">
        <v>9</v>
      </c>
      <c r="B14" s="7"/>
      <c r="C14" s="7"/>
      <c r="D14" s="7"/>
      <c r="E14" s="14"/>
      <c r="F14" s="7"/>
      <c r="G14" s="60"/>
      <c r="H14" s="7"/>
      <c r="I14" s="7"/>
      <c r="J14" s="63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5.75" customHeight="1">
      <c r="A15" s="7">
        <v>10</v>
      </c>
      <c r="B15" s="7"/>
      <c r="C15" s="7"/>
      <c r="D15" s="7"/>
      <c r="E15" s="14"/>
      <c r="F15" s="7"/>
      <c r="G15" s="53"/>
      <c r="H15" s="7"/>
      <c r="I15" s="7"/>
      <c r="J15" s="63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0.5" customHeight="1">
      <c r="A16" s="97"/>
      <c r="B16" s="72"/>
      <c r="C16" s="72"/>
      <c r="D16" s="72"/>
      <c r="E16" s="72"/>
      <c r="F16" s="72"/>
      <c r="G16" s="72"/>
      <c r="H16" s="72"/>
      <c r="I16" s="72"/>
      <c r="J16" s="7"/>
      <c r="K16" s="62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ht="15.75" customHeight="1">
      <c r="A17" s="99" t="s">
        <v>564</v>
      </c>
      <c r="B17" s="72"/>
      <c r="C17" s="72"/>
      <c r="D17" s="72"/>
      <c r="E17" s="100" t="s">
        <v>598</v>
      </c>
      <c r="F17" s="72"/>
      <c r="G17" s="72"/>
      <c r="H17" s="72"/>
      <c r="I17" s="72"/>
      <c r="J17" s="7"/>
      <c r="K17" s="62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ht="15.75" customHeight="1">
      <c r="A18" s="52" t="s">
        <v>6</v>
      </c>
      <c r="B18" s="52"/>
      <c r="C18" s="52" t="s">
        <v>568</v>
      </c>
      <c r="D18" s="52" t="s">
        <v>569</v>
      </c>
      <c r="E18" s="52" t="s">
        <v>600</v>
      </c>
      <c r="F18" s="52"/>
      <c r="G18" s="52"/>
      <c r="H18" s="52" t="s">
        <v>604</v>
      </c>
      <c r="I18" s="52" t="s">
        <v>605</v>
      </c>
      <c r="J18" s="7"/>
      <c r="K18" s="62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ht="15.75" customHeight="1">
      <c r="A19" s="7">
        <v>1</v>
      </c>
      <c r="B19" s="7" t="s">
        <v>825</v>
      </c>
      <c r="C19" s="7"/>
      <c r="D19" s="7" t="s">
        <v>826</v>
      </c>
      <c r="E19" s="103" t="s">
        <v>827</v>
      </c>
      <c r="F19" s="7"/>
      <c r="G19" s="7"/>
      <c r="H19" s="7"/>
      <c r="I19" s="7" t="s">
        <v>829</v>
      </c>
      <c r="J19" s="7"/>
      <c r="K19" s="62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ht="15.75" customHeight="1">
      <c r="A20" s="7">
        <v>2</v>
      </c>
      <c r="B20" s="7" t="s">
        <v>830</v>
      </c>
      <c r="C20" s="7"/>
      <c r="D20" s="7" t="s">
        <v>831</v>
      </c>
      <c r="E20" s="103" t="s">
        <v>856</v>
      </c>
      <c r="F20" s="7"/>
      <c r="G20" s="7"/>
      <c r="H20" s="7"/>
      <c r="I20" s="7" t="s">
        <v>828</v>
      </c>
      <c r="J20" s="7"/>
      <c r="K20" s="14" t="s">
        <v>859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ht="15.75" customHeight="1">
      <c r="A21" s="7">
        <v>3</v>
      </c>
      <c r="B21" s="7" t="s">
        <v>832</v>
      </c>
      <c r="C21" s="7"/>
      <c r="D21" s="7" t="s">
        <v>702</v>
      </c>
      <c r="E21" s="103" t="s">
        <v>855</v>
      </c>
      <c r="F21" s="7"/>
      <c r="G21" s="7"/>
      <c r="H21" s="7"/>
      <c r="I21" s="7" t="s">
        <v>833</v>
      </c>
      <c r="J21" s="7"/>
      <c r="K21" s="62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ht="15.75" customHeight="1">
      <c r="A22" s="6">
        <v>4</v>
      </c>
      <c r="B22" s="7" t="s">
        <v>834</v>
      </c>
      <c r="C22" s="7"/>
      <c r="D22" s="7" t="s">
        <v>785</v>
      </c>
      <c r="E22" s="7"/>
      <c r="F22" s="7"/>
      <c r="G22" s="7"/>
      <c r="H22" s="7"/>
      <c r="I22" s="7" t="s">
        <v>835</v>
      </c>
      <c r="J22" s="7"/>
      <c r="K22" s="62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ht="15.75" customHeight="1">
      <c r="A23" s="6">
        <v>5</v>
      </c>
      <c r="B23" s="7" t="s">
        <v>837</v>
      </c>
      <c r="C23" s="7"/>
      <c r="D23" s="7" t="s">
        <v>836</v>
      </c>
      <c r="E23" s="103" t="s">
        <v>854</v>
      </c>
      <c r="F23" s="7"/>
      <c r="G23" s="7"/>
      <c r="H23" s="7"/>
      <c r="I23" s="7" t="s">
        <v>777</v>
      </c>
      <c r="J23" s="7"/>
      <c r="K23" s="62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ht="15.75" customHeight="1">
      <c r="A24" s="6">
        <v>6</v>
      </c>
      <c r="B24" s="7" t="s">
        <v>838</v>
      </c>
      <c r="C24" s="7"/>
      <c r="D24" s="7" t="s">
        <v>702</v>
      </c>
      <c r="E24" s="103" t="s">
        <v>852</v>
      </c>
      <c r="F24" s="7"/>
      <c r="G24" s="7"/>
      <c r="H24" s="7"/>
      <c r="I24" s="7" t="s">
        <v>839</v>
      </c>
      <c r="J24" s="7"/>
      <c r="K24" s="62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ht="15.75" customHeight="1">
      <c r="A25" s="6">
        <v>7</v>
      </c>
      <c r="B25" s="7" t="s">
        <v>841</v>
      </c>
      <c r="C25" s="7"/>
      <c r="D25" s="7"/>
      <c r="E25" s="103" t="s">
        <v>853</v>
      </c>
      <c r="F25" s="7"/>
      <c r="G25" s="7"/>
      <c r="H25" s="7"/>
      <c r="I25" s="7" t="s">
        <v>840</v>
      </c>
      <c r="J25" s="7"/>
      <c r="K25" s="62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ht="15.75" customHeight="1">
      <c r="A26" s="6">
        <v>8</v>
      </c>
      <c r="B26" s="7" t="s">
        <v>843</v>
      </c>
      <c r="C26" s="7"/>
      <c r="D26" s="7" t="s">
        <v>705</v>
      </c>
      <c r="E26" s="103" t="s">
        <v>851</v>
      </c>
      <c r="F26" s="7"/>
      <c r="G26" s="7"/>
      <c r="H26" s="7"/>
      <c r="I26" s="7" t="s">
        <v>842</v>
      </c>
      <c r="J26" s="7"/>
      <c r="K26" s="62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 ht="15.75" customHeight="1">
      <c r="A27" s="6">
        <v>9</v>
      </c>
      <c r="B27" s="7" t="s">
        <v>844</v>
      </c>
      <c r="C27" s="7"/>
      <c r="D27" s="7" t="s">
        <v>702</v>
      </c>
      <c r="E27" s="103" t="s">
        <v>850</v>
      </c>
      <c r="F27" s="7"/>
      <c r="G27" s="7"/>
      <c r="H27" s="7"/>
      <c r="I27" s="7" t="s">
        <v>845</v>
      </c>
      <c r="J27" s="7"/>
      <c r="K27" s="62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ht="15.75" customHeight="1">
      <c r="A28" s="6">
        <v>10</v>
      </c>
      <c r="B28" s="7" t="s">
        <v>847</v>
      </c>
      <c r="C28" s="7"/>
      <c r="D28" s="7" t="s">
        <v>705</v>
      </c>
      <c r="E28" s="103" t="s">
        <v>848</v>
      </c>
      <c r="F28" s="7"/>
      <c r="G28" s="7"/>
      <c r="H28" s="7"/>
      <c r="I28" s="7" t="s">
        <v>857</v>
      </c>
      <c r="J28" s="7"/>
      <c r="K28" s="62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ht="15.75" customHeight="1">
      <c r="A29" s="6">
        <v>11</v>
      </c>
      <c r="B29" s="7" t="s">
        <v>846</v>
      </c>
      <c r="C29" s="7"/>
      <c r="D29" s="7" t="s">
        <v>705</v>
      </c>
      <c r="E29" s="103" t="s">
        <v>849</v>
      </c>
      <c r="F29" s="7"/>
      <c r="G29" s="7"/>
      <c r="H29" s="7"/>
      <c r="I29" s="7" t="s">
        <v>858</v>
      </c>
      <c r="J29" s="7"/>
      <c r="K29" s="62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ht="15.75" customHeight="1">
      <c r="A30" s="6">
        <v>12</v>
      </c>
      <c r="B30" s="7"/>
      <c r="C30" s="7"/>
      <c r="D30" s="7"/>
      <c r="E30" s="41"/>
      <c r="F30" s="7"/>
      <c r="G30" s="7"/>
      <c r="H30" s="7"/>
      <c r="I30" s="7"/>
      <c r="J30" s="7"/>
      <c r="K30" s="62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ht="15.75" customHeight="1">
      <c r="A31" s="6">
        <v>13</v>
      </c>
      <c r="B31" s="7"/>
      <c r="C31" s="7"/>
      <c r="D31" s="7"/>
      <c r="E31" s="41"/>
      <c r="F31" s="7"/>
      <c r="G31" s="7"/>
      <c r="H31" s="7"/>
      <c r="I31" s="7"/>
      <c r="J31" s="7"/>
      <c r="K31" s="62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ht="15.75" customHeight="1">
      <c r="A32" s="6">
        <v>14</v>
      </c>
      <c r="B32" s="7"/>
      <c r="C32" s="7"/>
      <c r="D32" s="7"/>
      <c r="E32" s="41"/>
      <c r="F32" s="7"/>
      <c r="G32" s="7"/>
      <c r="H32" s="7"/>
      <c r="I32" s="7"/>
      <c r="J32" s="7"/>
      <c r="K32" s="62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ht="15.75" customHeight="1">
      <c r="A33" s="6">
        <v>15</v>
      </c>
      <c r="B33" s="7"/>
      <c r="C33" s="7"/>
      <c r="D33" s="7"/>
      <c r="E33" s="41"/>
      <c r="F33" s="7"/>
      <c r="G33" s="7"/>
      <c r="H33" s="7"/>
      <c r="I33" s="7"/>
      <c r="J33" s="7"/>
      <c r="K33" s="62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ht="15.75" customHeight="1">
      <c r="A34" s="6">
        <v>16</v>
      </c>
      <c r="B34" s="7"/>
      <c r="C34" s="7"/>
      <c r="D34" s="7"/>
      <c r="E34" s="41"/>
      <c r="F34" s="7"/>
      <c r="G34" s="7"/>
      <c r="H34" s="7"/>
      <c r="I34" s="7"/>
      <c r="J34" s="7"/>
      <c r="K34" s="62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ht="15.75" customHeight="1">
      <c r="A35" s="6">
        <v>17</v>
      </c>
      <c r="B35" s="7"/>
      <c r="C35" s="7"/>
      <c r="D35" s="7"/>
      <c r="E35" s="41"/>
      <c r="F35" s="7"/>
      <c r="G35" s="7"/>
      <c r="H35" s="7"/>
      <c r="I35" s="7"/>
      <c r="J35" s="7"/>
      <c r="K35" s="62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ht="15.75" customHeight="1">
      <c r="A36" s="6">
        <v>18</v>
      </c>
      <c r="B36" s="7"/>
      <c r="C36" s="7"/>
      <c r="D36" s="7"/>
      <c r="E36" s="41"/>
      <c r="F36" s="7"/>
      <c r="G36" s="7"/>
      <c r="H36" s="7"/>
      <c r="I36" s="7"/>
      <c r="J36" s="7"/>
      <c r="K36" s="62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ht="15.75" customHeight="1">
      <c r="A37" s="6">
        <v>19</v>
      </c>
      <c r="B37" s="7"/>
      <c r="C37" s="7"/>
      <c r="D37" s="7"/>
      <c r="E37" s="56"/>
      <c r="F37" s="7"/>
      <c r="G37" s="7"/>
      <c r="H37" s="7"/>
      <c r="I37" s="7"/>
      <c r="J37" s="7"/>
      <c r="K37" s="62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ht="15.75" customHeight="1">
      <c r="A38" s="6">
        <v>20</v>
      </c>
      <c r="B38" s="7"/>
      <c r="C38" s="7"/>
      <c r="D38" s="7"/>
      <c r="E38" s="56"/>
      <c r="F38" s="7"/>
      <c r="G38" s="7"/>
      <c r="H38" s="7"/>
      <c r="I38" s="7"/>
      <c r="J38" s="7"/>
      <c r="K38" s="62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ht="15.75" customHeight="1">
      <c r="A39" s="6">
        <v>21</v>
      </c>
      <c r="B39" s="7"/>
      <c r="C39" s="7"/>
      <c r="D39" s="7"/>
      <c r="E39" s="56"/>
      <c r="F39" s="7"/>
      <c r="G39" s="7"/>
      <c r="H39" s="7"/>
      <c r="I39" s="7"/>
      <c r="J39" s="7"/>
      <c r="K39" s="62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ht="15.75" customHeight="1">
      <c r="A40" s="6">
        <v>22</v>
      </c>
      <c r="B40" s="7"/>
      <c r="C40" s="7"/>
      <c r="D40" s="7"/>
      <c r="E40" s="56"/>
      <c r="F40" s="7"/>
      <c r="G40" s="7"/>
      <c r="H40" s="7"/>
      <c r="I40" s="7"/>
      <c r="J40" s="7"/>
      <c r="K40" s="62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ht="15.75" customHeight="1">
      <c r="A41" s="6">
        <v>23</v>
      </c>
      <c r="B41" s="7"/>
      <c r="C41" s="7"/>
      <c r="D41" s="7"/>
      <c r="E41" s="41"/>
      <c r="F41" s="7"/>
      <c r="G41" s="7"/>
      <c r="H41" s="7"/>
      <c r="I41" s="7"/>
      <c r="J41" s="7"/>
      <c r="K41" s="62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ht="15.75" customHeight="1">
      <c r="A42" s="6">
        <v>24</v>
      </c>
      <c r="B42" s="7"/>
      <c r="C42" s="7"/>
      <c r="D42" s="7"/>
      <c r="E42" s="41"/>
      <c r="F42" s="7"/>
      <c r="G42" s="7"/>
      <c r="H42" s="7"/>
      <c r="I42" s="7"/>
      <c r="J42" s="7"/>
      <c r="K42" s="62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ht="15.75" customHeight="1">
      <c r="A43" s="6">
        <v>25</v>
      </c>
      <c r="B43" s="7"/>
      <c r="C43" s="7"/>
      <c r="D43" s="7"/>
      <c r="E43" s="41"/>
      <c r="F43" s="7"/>
      <c r="G43" s="7"/>
      <c r="H43" s="7"/>
      <c r="I43" s="7"/>
      <c r="J43" s="7"/>
      <c r="K43" s="62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ht="15.75" customHeight="1">
      <c r="A44" s="6">
        <v>26</v>
      </c>
      <c r="B44" s="7"/>
      <c r="C44" s="7"/>
      <c r="D44" s="7"/>
      <c r="E44" s="41"/>
      <c r="F44" s="7"/>
      <c r="G44" s="7"/>
      <c r="H44" s="7"/>
      <c r="I44" s="7"/>
      <c r="J44" s="7"/>
      <c r="K44" s="62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ht="15.75" customHeight="1">
      <c r="A45" s="6">
        <v>27</v>
      </c>
      <c r="B45" s="7"/>
      <c r="C45" s="7"/>
      <c r="D45" s="7"/>
      <c r="E45" s="41"/>
      <c r="F45" s="7"/>
      <c r="G45" s="7"/>
      <c r="H45" s="7"/>
      <c r="I45" s="7"/>
      <c r="J45" s="7"/>
      <c r="K45" s="62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ht="15.75" customHeight="1">
      <c r="A46" s="6">
        <v>28</v>
      </c>
      <c r="B46" s="7"/>
      <c r="C46" s="7"/>
      <c r="D46" s="7"/>
      <c r="E46" s="56"/>
      <c r="F46" s="7"/>
      <c r="G46" s="7"/>
      <c r="H46" s="7"/>
      <c r="I46" s="7"/>
      <c r="J46" s="7"/>
      <c r="K46" s="62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ht="15.75" customHeight="1">
      <c r="A47" s="6">
        <v>29</v>
      </c>
      <c r="B47" s="7"/>
      <c r="C47" s="7"/>
      <c r="D47" s="7"/>
      <c r="E47" s="56"/>
      <c r="F47" s="7"/>
      <c r="G47" s="7"/>
      <c r="H47" s="7"/>
      <c r="I47" s="7"/>
      <c r="J47" s="7"/>
      <c r="K47" s="62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ht="15.75" customHeight="1">
      <c r="A48" s="6">
        <v>30</v>
      </c>
      <c r="B48" s="7"/>
      <c r="C48" s="7"/>
      <c r="D48" s="7"/>
      <c r="E48" s="56"/>
      <c r="F48" s="7"/>
      <c r="G48" s="7"/>
      <c r="H48" s="7"/>
      <c r="I48" s="7"/>
      <c r="J48" s="7"/>
      <c r="K48" s="62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ht="15.75" customHeight="1">
      <c r="A49" s="6">
        <v>31</v>
      </c>
      <c r="B49" s="7"/>
      <c r="C49" s="7"/>
      <c r="D49" s="7"/>
      <c r="E49" s="56"/>
      <c r="F49" s="7"/>
      <c r="G49" s="7"/>
      <c r="H49" s="7"/>
      <c r="I49" s="7"/>
      <c r="J49" s="7"/>
      <c r="K49" s="62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ht="15.75" customHeight="1">
      <c r="A50" s="6">
        <v>32</v>
      </c>
      <c r="B50" s="7"/>
      <c r="C50" s="7"/>
      <c r="D50" s="7"/>
      <c r="E50" s="41"/>
      <c r="F50" s="7"/>
      <c r="G50" s="7"/>
      <c r="H50" s="7"/>
      <c r="I50" s="7"/>
      <c r="J50" s="7"/>
      <c r="K50" s="62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ht="15.75" customHeight="1">
      <c r="A51" s="6">
        <v>33</v>
      </c>
      <c r="B51" s="7"/>
      <c r="C51" s="7"/>
      <c r="D51" s="7"/>
      <c r="E51" s="41"/>
      <c r="F51" s="7"/>
      <c r="G51" s="7"/>
      <c r="H51" s="7"/>
      <c r="I51" s="7"/>
      <c r="J51" s="7"/>
      <c r="K51" s="62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ht="15.75" customHeight="1">
      <c r="A52" s="6">
        <v>34</v>
      </c>
      <c r="B52" s="7"/>
      <c r="C52" s="7"/>
      <c r="D52" s="7"/>
      <c r="E52" s="41"/>
      <c r="F52" s="7"/>
      <c r="G52" s="7"/>
      <c r="H52" s="7"/>
      <c r="I52" s="7"/>
      <c r="J52" s="7"/>
      <c r="K52" s="62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 ht="15.75" customHeight="1">
      <c r="A53" s="6">
        <v>35</v>
      </c>
      <c r="B53" s="7"/>
      <c r="C53" s="7"/>
      <c r="D53" s="7"/>
      <c r="E53" s="7"/>
      <c r="F53" s="7"/>
      <c r="G53" s="7"/>
      <c r="H53" s="7"/>
      <c r="I53" s="7"/>
      <c r="J53" s="7"/>
      <c r="K53" s="62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 ht="15.75" customHeight="1">
      <c r="A54" s="6">
        <v>36</v>
      </c>
      <c r="B54" s="7"/>
      <c r="C54" s="7"/>
      <c r="D54" s="7"/>
      <c r="E54" s="7"/>
      <c r="F54" s="7"/>
      <c r="G54" s="7"/>
      <c r="H54" s="7"/>
      <c r="I54" s="7"/>
      <c r="J54" s="7"/>
      <c r="K54" s="62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 ht="15.75" customHeight="1">
      <c r="A55" s="6">
        <v>37</v>
      </c>
      <c r="B55" s="7"/>
      <c r="C55" s="7"/>
      <c r="D55" s="7"/>
      <c r="E55" s="41"/>
      <c r="F55" s="7"/>
      <c r="G55" s="7"/>
      <c r="H55" s="7"/>
      <c r="I55" s="7"/>
      <c r="J55" s="7"/>
      <c r="K55" s="62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 ht="15.75" customHeight="1">
      <c r="A56" s="6">
        <v>38</v>
      </c>
      <c r="B56" s="7"/>
      <c r="C56" s="7"/>
      <c r="D56" s="7"/>
      <c r="E56" s="7"/>
      <c r="F56" s="7"/>
      <c r="G56" s="7"/>
      <c r="H56" s="7"/>
      <c r="I56" s="7"/>
      <c r="J56" s="7"/>
      <c r="K56" s="62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 ht="15.75" customHeight="1">
      <c r="A57" s="6">
        <v>39</v>
      </c>
      <c r="B57" s="7"/>
      <c r="C57" s="7"/>
      <c r="D57" s="7"/>
      <c r="E57" s="7"/>
      <c r="F57" s="7"/>
      <c r="G57" s="7"/>
      <c r="H57" s="7"/>
      <c r="I57" s="7"/>
      <c r="J57" s="7"/>
      <c r="K57" s="62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 ht="15.75" customHeight="1">
      <c r="A58" s="6">
        <v>40</v>
      </c>
      <c r="B58" s="7"/>
      <c r="C58" s="7"/>
      <c r="D58" s="7"/>
      <c r="E58" s="41"/>
      <c r="F58" s="7"/>
      <c r="G58" s="7"/>
      <c r="H58" s="7"/>
      <c r="I58" s="7"/>
      <c r="J58" s="7"/>
      <c r="K58" s="62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ht="15.75" customHeight="1">
      <c r="A59" s="6">
        <v>41</v>
      </c>
      <c r="B59" s="7"/>
      <c r="C59" s="7"/>
      <c r="D59" s="7"/>
      <c r="E59" s="41"/>
      <c r="F59" s="7"/>
      <c r="G59" s="7"/>
      <c r="H59" s="7"/>
      <c r="I59" s="7"/>
      <c r="J59" s="7"/>
      <c r="K59" s="62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ht="15.75" customHeight="1">
      <c r="A60" s="6">
        <v>42</v>
      </c>
      <c r="B60" s="7"/>
      <c r="C60" s="7"/>
      <c r="D60" s="7"/>
      <c r="E60" s="41"/>
      <c r="F60" s="7"/>
      <c r="G60" s="7"/>
      <c r="H60" s="7"/>
      <c r="I60" s="7"/>
      <c r="J60" s="7"/>
      <c r="K60" s="62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ht="15.75" customHeight="1">
      <c r="A61" s="6">
        <v>43</v>
      </c>
      <c r="B61" s="7"/>
      <c r="C61" s="7"/>
      <c r="D61" s="7"/>
      <c r="E61" s="41"/>
      <c r="F61" s="7"/>
      <c r="G61" s="7"/>
      <c r="H61" s="7"/>
      <c r="I61" s="7"/>
      <c r="J61" s="7"/>
      <c r="K61" s="62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 ht="15.75" customHeight="1">
      <c r="A62" s="6">
        <v>44</v>
      </c>
      <c r="B62" s="7"/>
      <c r="C62" s="7"/>
      <c r="D62" s="7"/>
      <c r="E62" s="41"/>
      <c r="F62" s="7"/>
      <c r="G62" s="7"/>
      <c r="H62" s="7"/>
      <c r="I62" s="7"/>
      <c r="J62" s="7"/>
      <c r="K62" s="62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 ht="15.75" customHeight="1">
      <c r="A63" s="6">
        <v>45</v>
      </c>
      <c r="B63" s="7"/>
      <c r="C63" s="7"/>
      <c r="D63" s="7"/>
      <c r="E63" s="41"/>
      <c r="F63" s="7"/>
      <c r="G63" s="7"/>
      <c r="H63" s="7"/>
      <c r="I63" s="7"/>
      <c r="J63" s="7"/>
      <c r="K63" s="62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 ht="15.75" customHeight="1">
      <c r="A64" s="6">
        <v>46</v>
      </c>
      <c r="B64" s="7"/>
      <c r="C64" s="7"/>
      <c r="D64" s="7"/>
      <c r="E64" s="7"/>
      <c r="F64" s="7"/>
      <c r="G64" s="7"/>
      <c r="H64" s="7"/>
      <c r="I64" s="7"/>
      <c r="J64" s="7"/>
      <c r="K64" s="62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 ht="15.75" customHeight="1">
      <c r="A65" s="6">
        <v>47</v>
      </c>
      <c r="B65" s="7"/>
      <c r="C65" s="7"/>
      <c r="D65" s="7"/>
      <c r="E65" s="41"/>
      <c r="F65" s="7"/>
      <c r="G65" s="7"/>
      <c r="H65" s="7"/>
      <c r="I65" s="7"/>
      <c r="J65" s="7"/>
      <c r="K65" s="62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 ht="15.75" customHeight="1">
      <c r="A66" s="6">
        <v>48</v>
      </c>
      <c r="B66" s="7"/>
      <c r="C66" s="7"/>
      <c r="D66" s="7"/>
      <c r="E66" s="41"/>
      <c r="F66" s="7"/>
      <c r="G66" s="7"/>
      <c r="H66" s="7"/>
      <c r="I66" s="7"/>
      <c r="J66" s="7"/>
      <c r="K66" s="62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 ht="15.75" customHeight="1">
      <c r="A67" s="6">
        <v>49</v>
      </c>
      <c r="B67" s="7"/>
      <c r="C67" s="7"/>
      <c r="D67" s="7"/>
      <c r="E67" s="41"/>
      <c r="F67" s="7"/>
      <c r="G67" s="7"/>
      <c r="H67" s="7"/>
      <c r="I67" s="7"/>
      <c r="J67" s="7"/>
      <c r="K67" s="62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ht="15.75" customHeight="1">
      <c r="A68" s="6">
        <v>50</v>
      </c>
      <c r="B68" s="7"/>
      <c r="C68" s="7"/>
      <c r="D68" s="7"/>
      <c r="E68" s="41"/>
      <c r="F68" s="7"/>
      <c r="G68" s="7"/>
      <c r="H68" s="7"/>
      <c r="I68" s="7"/>
      <c r="J68" s="7"/>
      <c r="K68" s="62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ht="15.75" customHeight="1">
      <c r="A69" s="6">
        <v>51</v>
      </c>
      <c r="B69" s="7"/>
      <c r="C69" s="7"/>
      <c r="D69" s="7"/>
      <c r="E69" s="41"/>
      <c r="F69" s="7"/>
      <c r="G69" s="7"/>
      <c r="H69" s="7"/>
      <c r="I69" s="7"/>
      <c r="J69" s="65"/>
      <c r="K69" s="62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ht="15.75" customHeight="1">
      <c r="A70" s="6">
        <v>52</v>
      </c>
      <c r="B70" s="7"/>
      <c r="C70" s="7"/>
      <c r="D70" s="7"/>
      <c r="E70" s="41"/>
      <c r="F70" s="7"/>
      <c r="G70" s="7"/>
      <c r="H70" s="7"/>
      <c r="I70" s="7"/>
      <c r="J70" s="65"/>
      <c r="K70" s="62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 ht="15.75" customHeight="1">
      <c r="A71" s="6">
        <v>53</v>
      </c>
      <c r="B71" s="7"/>
      <c r="C71" s="7"/>
      <c r="D71" s="7"/>
      <c r="E71" s="7"/>
      <c r="F71" s="7"/>
      <c r="G71" s="7"/>
      <c r="H71" s="7"/>
      <c r="I71" s="7"/>
      <c r="J71" s="65"/>
      <c r="K71" s="62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 ht="15.75" customHeight="1">
      <c r="A72" s="6">
        <v>54</v>
      </c>
      <c r="B72" s="7"/>
      <c r="C72" s="7"/>
      <c r="D72" s="7"/>
      <c r="E72" s="41"/>
      <c r="F72" s="7"/>
      <c r="G72" s="7"/>
      <c r="H72" s="7"/>
      <c r="I72" s="7"/>
      <c r="J72" s="65"/>
      <c r="K72" s="62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 ht="15.75" customHeight="1">
      <c r="A73" s="6">
        <v>55</v>
      </c>
      <c r="B73" s="7"/>
      <c r="C73" s="7"/>
      <c r="D73" s="7"/>
      <c r="E73" s="41"/>
      <c r="F73" s="7"/>
      <c r="G73" s="7"/>
      <c r="H73" s="7"/>
      <c r="I73" s="7"/>
      <c r="J73" s="65"/>
      <c r="K73" s="62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 ht="15.75" customHeight="1">
      <c r="A74" s="6">
        <v>56</v>
      </c>
      <c r="B74" s="7"/>
      <c r="C74" s="7"/>
      <c r="D74" s="7"/>
      <c r="E74" s="41"/>
      <c r="F74" s="7"/>
      <c r="G74" s="7"/>
      <c r="H74" s="7"/>
      <c r="I74" s="7"/>
      <c r="J74" s="65"/>
      <c r="K74" s="62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 ht="15.75" customHeight="1">
      <c r="A75" s="6">
        <v>57</v>
      </c>
      <c r="B75" s="7"/>
      <c r="C75" s="7"/>
      <c r="D75" s="7"/>
      <c r="E75" s="41"/>
      <c r="F75" s="7"/>
      <c r="G75" s="7"/>
      <c r="H75" s="7"/>
      <c r="I75" s="7"/>
      <c r="J75" s="65"/>
      <c r="K75" s="62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 ht="15.75" customHeight="1">
      <c r="A76" s="6">
        <v>58</v>
      </c>
      <c r="B76" s="7"/>
      <c r="C76" s="7"/>
      <c r="D76" s="7"/>
      <c r="E76" s="7"/>
      <c r="F76" s="7"/>
      <c r="G76" s="7"/>
      <c r="H76" s="7"/>
      <c r="I76" s="7"/>
      <c r="J76" s="65"/>
      <c r="K76" s="62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ht="15.75" customHeight="1">
      <c r="A77" s="6">
        <v>59</v>
      </c>
      <c r="B77" s="7"/>
      <c r="C77" s="7"/>
      <c r="D77" s="7"/>
      <c r="E77" s="7"/>
      <c r="F77" s="7"/>
      <c r="G77" s="7"/>
      <c r="H77" s="7"/>
      <c r="I77" s="7"/>
      <c r="J77" s="65"/>
      <c r="K77" s="62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ht="15.75" customHeight="1">
      <c r="A78" s="6">
        <v>60</v>
      </c>
      <c r="B78" s="7"/>
      <c r="C78" s="7"/>
      <c r="D78" s="7"/>
      <c r="E78" s="41"/>
      <c r="F78" s="7"/>
      <c r="G78" s="7"/>
      <c r="H78" s="7"/>
      <c r="I78" s="7"/>
      <c r="J78" s="65"/>
      <c r="K78" s="62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ht="15.75" customHeight="1">
      <c r="A79" s="6">
        <v>61</v>
      </c>
      <c r="B79" s="7"/>
      <c r="C79" s="7"/>
      <c r="D79" s="7"/>
      <c r="E79" s="41"/>
      <c r="F79" s="7"/>
      <c r="G79" s="7"/>
      <c r="H79" s="7"/>
      <c r="I79" s="7"/>
      <c r="J79" s="7"/>
      <c r="K79" s="62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 ht="15.75" customHeight="1">
      <c r="A80" s="6">
        <v>62</v>
      </c>
      <c r="B80" s="7"/>
      <c r="C80" s="7"/>
      <c r="D80" s="7"/>
      <c r="E80" s="41"/>
      <c r="F80" s="7"/>
      <c r="G80" s="7"/>
      <c r="H80" s="7"/>
      <c r="I80" s="7"/>
      <c r="J80" s="66"/>
      <c r="K80" s="62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 ht="15.75" customHeight="1">
      <c r="A81" s="6">
        <v>63</v>
      </c>
      <c r="B81" s="7"/>
      <c r="C81" s="7"/>
      <c r="D81" s="7"/>
      <c r="E81" s="41"/>
      <c r="F81" s="7"/>
      <c r="G81" s="7"/>
      <c r="H81" s="7"/>
      <c r="I81" s="7"/>
      <c r="J81" s="66"/>
      <c r="K81" s="62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 ht="15.75" customHeight="1">
      <c r="A82" s="6">
        <v>64</v>
      </c>
      <c r="B82" s="7"/>
      <c r="C82" s="7"/>
      <c r="D82" s="7"/>
      <c r="E82" s="41"/>
      <c r="F82" s="7"/>
      <c r="G82" s="7"/>
      <c r="H82" s="7"/>
      <c r="I82" s="7"/>
      <c r="J82" s="7"/>
      <c r="K82" s="62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 ht="15.75" customHeight="1">
      <c r="A83" s="6">
        <v>65</v>
      </c>
      <c r="B83" s="7"/>
      <c r="C83" s="7"/>
      <c r="D83" s="7"/>
      <c r="E83" s="41"/>
      <c r="F83" s="7"/>
      <c r="G83" s="7"/>
      <c r="H83" s="7"/>
      <c r="I83" s="7"/>
      <c r="J83" s="66"/>
      <c r="K83" s="62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 ht="15.75" customHeight="1">
      <c r="A84" s="6">
        <v>66</v>
      </c>
      <c r="B84" s="7"/>
      <c r="C84" s="7"/>
      <c r="D84" s="7"/>
      <c r="E84" s="41"/>
      <c r="F84" s="7"/>
      <c r="G84" s="7"/>
      <c r="H84" s="7"/>
      <c r="I84" s="7"/>
      <c r="J84" s="66"/>
      <c r="K84" s="62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 ht="15.75" customHeight="1">
      <c r="A85" s="6">
        <v>67</v>
      </c>
      <c r="B85" s="7"/>
      <c r="C85" s="7"/>
      <c r="D85" s="7"/>
      <c r="E85" s="41"/>
      <c r="F85" s="7"/>
      <c r="G85" s="7"/>
      <c r="H85" s="7"/>
      <c r="I85" s="7"/>
      <c r="J85" s="7"/>
      <c r="K85" s="62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ht="15.75" customHeight="1">
      <c r="A86" s="6">
        <v>68</v>
      </c>
      <c r="B86" s="7"/>
      <c r="C86" s="7"/>
      <c r="D86" s="7"/>
      <c r="E86" s="41"/>
      <c r="F86" s="7"/>
      <c r="G86" s="7"/>
      <c r="H86" s="7"/>
      <c r="I86" s="7"/>
      <c r="J86" s="7"/>
      <c r="K86" s="62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ht="15.75" customHeight="1">
      <c r="A87" s="6">
        <v>69</v>
      </c>
      <c r="B87" s="7"/>
      <c r="C87" s="7"/>
      <c r="D87" s="7"/>
      <c r="E87" s="41"/>
      <c r="F87" s="7"/>
      <c r="G87" s="7"/>
      <c r="H87" s="7"/>
      <c r="I87" s="7"/>
      <c r="J87" s="66"/>
      <c r="K87" s="62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ht="15.75" customHeight="1">
      <c r="A88" s="6">
        <v>70</v>
      </c>
      <c r="B88" s="7"/>
      <c r="C88" s="7"/>
      <c r="D88" s="7"/>
      <c r="E88" s="41"/>
      <c r="F88" s="7"/>
      <c r="G88" s="7"/>
      <c r="H88" s="7"/>
      <c r="I88" s="7"/>
      <c r="J88" s="7"/>
      <c r="K88" s="62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 ht="15.75" customHeight="1">
      <c r="A89" s="6">
        <v>71</v>
      </c>
      <c r="B89" s="7"/>
      <c r="C89" s="7"/>
      <c r="D89" s="7"/>
      <c r="E89" s="41"/>
      <c r="F89" s="7"/>
      <c r="G89" s="7"/>
      <c r="H89" s="7"/>
      <c r="I89" s="7"/>
      <c r="J89" s="66"/>
      <c r="K89" s="62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 ht="15.75" customHeight="1">
      <c r="A90" s="6">
        <v>72</v>
      </c>
      <c r="B90" s="7"/>
      <c r="C90" s="7"/>
      <c r="D90" s="7"/>
      <c r="E90" s="41"/>
      <c r="F90" s="7"/>
      <c r="G90" s="7"/>
      <c r="H90" s="7"/>
      <c r="I90" s="7"/>
      <c r="J90" s="66"/>
      <c r="K90" s="62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 ht="15.75" customHeight="1">
      <c r="A91" s="6">
        <v>73</v>
      </c>
      <c r="B91" s="7"/>
      <c r="C91" s="7"/>
      <c r="D91" s="7"/>
      <c r="E91" s="41"/>
      <c r="F91" s="7"/>
      <c r="G91" s="7"/>
      <c r="H91" s="7"/>
      <c r="I91" s="7"/>
      <c r="J91" s="67"/>
      <c r="K91" s="62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 ht="15.75" customHeight="1">
      <c r="A92" s="6">
        <v>74</v>
      </c>
      <c r="B92" s="7"/>
      <c r="C92" s="7"/>
      <c r="D92" s="7"/>
      <c r="E92" s="41"/>
      <c r="F92" s="7"/>
      <c r="G92" s="7"/>
      <c r="H92" s="7"/>
      <c r="I92" s="7"/>
      <c r="J92" s="66"/>
      <c r="K92" s="62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 ht="15.75" customHeight="1">
      <c r="A93" s="6">
        <v>75</v>
      </c>
      <c r="B93" s="7"/>
      <c r="C93" s="7"/>
      <c r="D93" s="7"/>
      <c r="E93" s="41"/>
      <c r="F93" s="7"/>
      <c r="G93" s="7"/>
      <c r="H93" s="7"/>
      <c r="I93" s="7"/>
      <c r="J93" s="66"/>
      <c r="K93" s="62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 ht="15.75" customHeight="1">
      <c r="A94" s="6">
        <v>76</v>
      </c>
      <c r="B94" s="7"/>
      <c r="C94" s="7"/>
      <c r="D94" s="7"/>
      <c r="E94" s="56"/>
      <c r="F94" s="7"/>
      <c r="G94" s="7"/>
      <c r="H94" s="7"/>
      <c r="I94" s="7"/>
      <c r="J94" s="67"/>
      <c r="K94" s="62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ht="15.75" customHeight="1">
      <c r="A95" s="6">
        <v>77</v>
      </c>
      <c r="B95" s="7"/>
      <c r="C95" s="7"/>
      <c r="D95" s="7"/>
      <c r="E95" s="56"/>
      <c r="F95" s="7"/>
      <c r="G95" s="7"/>
      <c r="H95" s="7"/>
      <c r="I95" s="7"/>
      <c r="J95" s="66"/>
      <c r="K95" s="62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ht="15.75" customHeight="1">
      <c r="A96" s="6">
        <v>78</v>
      </c>
      <c r="B96" s="7"/>
      <c r="C96" s="7"/>
      <c r="D96" s="7"/>
      <c r="E96" s="41"/>
      <c r="F96" s="50"/>
      <c r="G96" s="50"/>
      <c r="H96" s="7"/>
      <c r="I96" s="7"/>
      <c r="J96" s="7"/>
      <c r="K96" s="62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ht="15.75" customHeight="1">
      <c r="A97" s="6">
        <v>79</v>
      </c>
      <c r="B97" s="7"/>
      <c r="C97" s="7"/>
      <c r="D97" s="7"/>
      <c r="E97" s="41"/>
      <c r="F97" s="50"/>
      <c r="G97" s="50"/>
      <c r="H97" s="50"/>
      <c r="I97" s="7"/>
      <c r="J97" s="7"/>
      <c r="K97" s="62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 ht="15.75" customHeight="1">
      <c r="A98" s="6">
        <v>80</v>
      </c>
      <c r="B98" s="7"/>
      <c r="C98" s="7"/>
      <c r="D98" s="7"/>
      <c r="E98" s="41"/>
      <c r="F98" s="50"/>
      <c r="G98" s="50"/>
      <c r="H98" s="50"/>
      <c r="I98" s="7"/>
      <c r="J98" s="7"/>
      <c r="K98" s="62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 ht="15.75" customHeight="1">
      <c r="A99" s="6">
        <v>81</v>
      </c>
      <c r="B99" s="7"/>
      <c r="C99" s="7"/>
      <c r="D99" s="7"/>
      <c r="E99" s="41"/>
      <c r="F99" s="50"/>
      <c r="G99" s="50"/>
      <c r="H99" s="50"/>
      <c r="I99" s="7"/>
      <c r="J99" s="7"/>
      <c r="K99" s="62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 ht="15.75" customHeight="1">
      <c r="A100" s="6">
        <v>82</v>
      </c>
      <c r="B100" s="7"/>
      <c r="C100" s="7"/>
      <c r="D100" s="7"/>
      <c r="E100" s="41"/>
      <c r="F100" s="50"/>
      <c r="G100" s="50"/>
      <c r="H100" s="50"/>
      <c r="I100" s="7"/>
      <c r="J100" s="7"/>
      <c r="K100" s="62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 ht="15.75" customHeight="1">
      <c r="A101" s="6">
        <v>83</v>
      </c>
      <c r="B101" s="7"/>
      <c r="C101" s="7"/>
      <c r="D101" s="7"/>
      <c r="E101" s="41"/>
      <c r="F101" s="50"/>
      <c r="G101" s="50"/>
      <c r="H101" s="50"/>
      <c r="I101" s="7"/>
      <c r="J101" s="7"/>
      <c r="K101" s="62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 ht="15.75" customHeight="1">
      <c r="A102" s="6">
        <v>84</v>
      </c>
      <c r="B102" s="7"/>
      <c r="C102" s="7"/>
      <c r="D102" s="7"/>
      <c r="E102" s="41"/>
      <c r="F102" s="50"/>
      <c r="G102" s="50"/>
      <c r="H102" s="50"/>
      <c r="I102" s="7"/>
      <c r="J102" s="7"/>
      <c r="K102" s="62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 ht="15.75" customHeight="1">
      <c r="A103" s="6">
        <v>85</v>
      </c>
      <c r="B103" s="7"/>
      <c r="C103" s="7"/>
      <c r="D103" s="7"/>
      <c r="E103" s="41"/>
      <c r="F103" s="50"/>
      <c r="G103" s="50"/>
      <c r="H103" s="50"/>
      <c r="I103" s="7"/>
      <c r="J103" s="7"/>
      <c r="K103" s="62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ht="15.75" customHeight="1">
      <c r="A104" s="6">
        <v>86</v>
      </c>
      <c r="B104" s="7"/>
      <c r="C104" s="50"/>
      <c r="D104" s="7"/>
      <c r="E104" s="41"/>
      <c r="F104" s="50"/>
      <c r="G104" s="50"/>
      <c r="H104" s="50"/>
      <c r="I104" s="7"/>
      <c r="J104" s="7"/>
      <c r="K104" s="62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ht="15.75" customHeight="1">
      <c r="A105" s="6">
        <v>87</v>
      </c>
      <c r="B105" s="7"/>
      <c r="C105" s="50"/>
      <c r="D105" s="7"/>
      <c r="E105" s="41"/>
      <c r="F105" s="50"/>
      <c r="G105" s="50"/>
      <c r="H105" s="50"/>
      <c r="I105" s="7"/>
      <c r="J105" s="7"/>
      <c r="K105" s="62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ht="15.75" customHeight="1">
      <c r="A106" s="6">
        <v>88</v>
      </c>
      <c r="B106" s="7"/>
      <c r="C106" s="7"/>
      <c r="D106" s="7"/>
      <c r="E106" s="41"/>
      <c r="F106" s="50"/>
      <c r="G106" s="50"/>
      <c r="H106" s="50"/>
      <c r="I106" s="7"/>
      <c r="J106" s="7"/>
      <c r="K106" s="62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 ht="15.75" customHeight="1">
      <c r="A107" s="6">
        <v>89</v>
      </c>
      <c r="B107" s="7"/>
      <c r="C107" s="50"/>
      <c r="D107" s="7"/>
      <c r="E107" s="41"/>
      <c r="F107" s="50"/>
      <c r="G107" s="50"/>
      <c r="H107" s="50"/>
      <c r="I107" s="7"/>
      <c r="J107" s="7"/>
      <c r="K107" s="62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 ht="15.75" customHeight="1">
      <c r="A108" s="6">
        <v>90</v>
      </c>
      <c r="B108" s="7"/>
      <c r="C108" s="50"/>
      <c r="D108" s="7"/>
      <c r="E108" s="41"/>
      <c r="F108" s="50"/>
      <c r="G108" s="50"/>
      <c r="H108" s="50"/>
      <c r="I108" s="7"/>
      <c r="J108" s="7"/>
      <c r="K108" s="62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 ht="15.75" customHeight="1">
      <c r="A109" s="6">
        <v>91</v>
      </c>
      <c r="B109" s="7"/>
      <c r="C109" s="50"/>
      <c r="D109" s="7"/>
      <c r="E109" s="41"/>
      <c r="F109" s="50"/>
      <c r="G109" s="50"/>
      <c r="H109" s="50"/>
      <c r="I109" s="7"/>
      <c r="J109" s="7"/>
      <c r="K109" s="62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 ht="15.75" customHeight="1">
      <c r="A110" s="6">
        <v>92</v>
      </c>
      <c r="B110" s="7"/>
      <c r="C110" s="7"/>
      <c r="D110" s="7"/>
      <c r="E110" s="41"/>
      <c r="F110" s="50"/>
      <c r="G110" s="50"/>
      <c r="H110" s="50"/>
      <c r="I110" s="7"/>
      <c r="J110" s="7"/>
      <c r="K110" s="62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 ht="15.75" customHeight="1">
      <c r="A111" s="6">
        <v>93</v>
      </c>
      <c r="B111" s="7"/>
      <c r="C111" s="50"/>
      <c r="D111" s="7"/>
      <c r="E111" s="41"/>
      <c r="F111" s="50"/>
      <c r="G111" s="50"/>
      <c r="H111" s="50"/>
      <c r="I111" s="7"/>
      <c r="J111" s="7"/>
      <c r="K111" s="62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 ht="15.75" customHeight="1">
      <c r="A112" s="6">
        <v>94</v>
      </c>
      <c r="B112" s="7"/>
      <c r="C112" s="7"/>
      <c r="D112" s="7"/>
      <c r="E112" s="41"/>
      <c r="F112" s="50"/>
      <c r="G112" s="50"/>
      <c r="H112" s="50"/>
      <c r="I112" s="7"/>
      <c r="J112" s="7"/>
      <c r="K112" s="62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ht="15.75" customHeight="1">
      <c r="A113" s="6">
        <v>95</v>
      </c>
      <c r="B113" s="50"/>
      <c r="C113" s="50"/>
      <c r="D113" s="50"/>
      <c r="E113" s="41"/>
      <c r="F113" s="50"/>
      <c r="G113" s="50"/>
      <c r="H113" s="50"/>
      <c r="I113" s="50"/>
      <c r="J113" s="7"/>
      <c r="K113" s="62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ht="15.75" customHeight="1">
      <c r="A114" s="6">
        <v>96</v>
      </c>
      <c r="B114" s="50"/>
      <c r="C114" s="50"/>
      <c r="D114" s="50"/>
      <c r="E114" s="50"/>
      <c r="F114" s="50"/>
      <c r="G114" s="50"/>
      <c r="H114" s="50"/>
      <c r="I114" s="50"/>
      <c r="J114" s="7"/>
      <c r="K114" s="62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ht="15.75" customHeight="1">
      <c r="A115" s="6">
        <v>97</v>
      </c>
      <c r="B115" s="50"/>
      <c r="C115" s="50"/>
      <c r="D115" s="50"/>
      <c r="E115" s="41"/>
      <c r="F115" s="50"/>
      <c r="G115" s="50"/>
      <c r="H115" s="50"/>
      <c r="I115" s="7"/>
      <c r="J115" s="7"/>
      <c r="K115" s="62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 ht="15.75" customHeight="1">
      <c r="A116" s="6">
        <v>98</v>
      </c>
      <c r="B116" s="7"/>
      <c r="C116" s="50"/>
      <c r="D116" s="50"/>
      <c r="E116" s="41"/>
      <c r="F116" s="50"/>
      <c r="G116" s="50"/>
      <c r="H116" s="50"/>
      <c r="I116" s="7"/>
      <c r="J116" s="7"/>
      <c r="K116" s="62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 ht="15.75" customHeight="1">
      <c r="A117" s="6">
        <v>99</v>
      </c>
      <c r="B117" s="7"/>
      <c r="C117" s="7"/>
      <c r="D117" s="7"/>
      <c r="E117" s="41"/>
      <c r="F117" s="7"/>
      <c r="G117" s="7"/>
      <c r="H117" s="7"/>
      <c r="I117" s="7"/>
      <c r="J117" s="7"/>
      <c r="K117" s="62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 ht="15.75" customHeight="1">
      <c r="A118" s="6">
        <v>100</v>
      </c>
      <c r="B118" s="7"/>
      <c r="C118" s="7"/>
      <c r="D118" s="7"/>
      <c r="E118" s="7"/>
      <c r="F118" s="7"/>
      <c r="G118" s="7"/>
      <c r="H118" s="7"/>
      <c r="I118" s="7"/>
      <c r="J118" s="7"/>
      <c r="K118" s="62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 ht="15.75" customHeight="1">
      <c r="A119" s="6">
        <v>101</v>
      </c>
      <c r="B119" s="7"/>
      <c r="C119" s="7"/>
      <c r="D119" s="7"/>
      <c r="E119" s="41"/>
      <c r="F119" s="7"/>
      <c r="G119" s="7"/>
      <c r="H119" s="7"/>
      <c r="I119" s="7"/>
      <c r="J119" s="7"/>
      <c r="K119" s="62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 ht="15.75" customHeight="1">
      <c r="A120" s="6">
        <v>102</v>
      </c>
      <c r="B120" s="7"/>
      <c r="C120" s="7"/>
      <c r="D120" s="7"/>
      <c r="E120" s="41"/>
      <c r="F120" s="7"/>
      <c r="G120" s="7"/>
      <c r="H120" s="7"/>
      <c r="I120" s="7"/>
      <c r="J120" s="7"/>
      <c r="K120" s="62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 ht="15.75" customHeight="1">
      <c r="A121" s="6">
        <v>103</v>
      </c>
      <c r="B121" s="7"/>
      <c r="C121" s="7"/>
      <c r="D121" s="7"/>
      <c r="E121" s="41"/>
      <c r="F121" s="7"/>
      <c r="G121" s="7"/>
      <c r="H121" s="7"/>
      <c r="I121" s="7"/>
      <c r="J121" s="7"/>
      <c r="K121" s="62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ht="15.75" customHeight="1">
      <c r="A122" s="6">
        <v>104</v>
      </c>
      <c r="B122" s="7"/>
      <c r="C122" s="7"/>
      <c r="D122" s="7"/>
      <c r="E122" s="41"/>
      <c r="F122" s="7"/>
      <c r="G122" s="7"/>
      <c r="H122" s="7"/>
      <c r="I122" s="7"/>
      <c r="J122" s="7"/>
      <c r="K122" s="62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ht="15.75" customHeight="1">
      <c r="A123" s="6">
        <v>105</v>
      </c>
      <c r="B123" s="7"/>
      <c r="C123" s="7"/>
      <c r="D123" s="7"/>
      <c r="E123" s="41"/>
      <c r="F123" s="7"/>
      <c r="G123" s="7"/>
      <c r="H123" s="7"/>
      <c r="I123" s="7"/>
      <c r="J123" s="7"/>
      <c r="K123" s="62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ht="15.75" customHeight="1">
      <c r="A124" s="6">
        <v>106</v>
      </c>
      <c r="B124" s="7"/>
      <c r="C124" s="7"/>
      <c r="D124" s="7"/>
      <c r="E124" s="41"/>
      <c r="F124" s="7"/>
      <c r="G124" s="7"/>
      <c r="H124" s="7"/>
      <c r="I124" s="7"/>
      <c r="J124" s="7"/>
      <c r="K124" s="62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 ht="15.75" customHeight="1">
      <c r="A125" s="6">
        <v>107</v>
      </c>
      <c r="B125" s="7"/>
      <c r="C125" s="7"/>
      <c r="D125" s="7"/>
      <c r="E125" s="41"/>
      <c r="F125" s="7"/>
      <c r="G125" s="7"/>
      <c r="H125" s="7"/>
      <c r="I125" s="7"/>
      <c r="J125" s="7"/>
      <c r="K125" s="62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 ht="15.75" customHeight="1">
      <c r="A126" s="6">
        <v>108</v>
      </c>
      <c r="B126" s="7"/>
      <c r="C126" s="7"/>
      <c r="D126" s="7"/>
      <c r="E126" s="41"/>
      <c r="F126" s="7"/>
      <c r="G126" s="7"/>
      <c r="H126" s="7"/>
      <c r="I126" s="7"/>
      <c r="J126" s="7"/>
      <c r="K126" s="62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 ht="15.75" customHeight="1">
      <c r="A127" s="6">
        <v>109</v>
      </c>
      <c r="B127" s="7"/>
      <c r="C127" s="7"/>
      <c r="D127" s="7"/>
      <c r="E127" s="41"/>
      <c r="F127" s="7"/>
      <c r="G127" s="7"/>
      <c r="H127" s="7"/>
      <c r="I127" s="7"/>
      <c r="J127" s="7"/>
      <c r="K127" s="62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 ht="15.75" customHeight="1">
      <c r="A128" s="6">
        <v>110</v>
      </c>
      <c r="B128" s="7"/>
      <c r="C128" s="7"/>
      <c r="D128" s="7"/>
      <c r="E128" s="41"/>
      <c r="F128" s="7"/>
      <c r="G128" s="7"/>
      <c r="H128" s="7"/>
      <c r="I128" s="7"/>
      <c r="J128" s="7"/>
      <c r="K128" s="62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 ht="15.75" customHeight="1">
      <c r="A129" s="6">
        <v>111</v>
      </c>
      <c r="B129" s="7"/>
      <c r="C129" s="7"/>
      <c r="D129" s="7"/>
      <c r="E129" s="41"/>
      <c r="F129" s="7"/>
      <c r="G129" s="7"/>
      <c r="H129" s="7"/>
      <c r="I129" s="7"/>
      <c r="J129" s="7"/>
      <c r="K129" s="62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 ht="15.75" customHeight="1">
      <c r="A130" s="6">
        <v>112</v>
      </c>
      <c r="B130" s="7"/>
      <c r="C130" s="7"/>
      <c r="D130" s="7"/>
      <c r="E130" s="41"/>
      <c r="F130" s="7"/>
      <c r="G130" s="7"/>
      <c r="H130" s="7"/>
      <c r="I130" s="7"/>
      <c r="J130" s="7"/>
      <c r="K130" s="62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 ht="15.75" customHeight="1">
      <c r="A131" s="6">
        <v>113</v>
      </c>
      <c r="B131" s="7"/>
      <c r="C131" s="7"/>
      <c r="D131" s="7"/>
      <c r="E131" s="41"/>
      <c r="F131" s="7"/>
      <c r="G131" s="7"/>
      <c r="H131" s="7"/>
      <c r="I131" s="7"/>
      <c r="J131" s="7"/>
      <c r="K131" s="62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 ht="15.75" customHeight="1">
      <c r="A132" s="6">
        <v>114</v>
      </c>
      <c r="B132" s="7"/>
      <c r="C132" s="7"/>
      <c r="D132" s="7"/>
      <c r="E132" s="41"/>
      <c r="F132" s="7"/>
      <c r="G132" s="7"/>
      <c r="H132" s="7"/>
      <c r="I132" s="7"/>
      <c r="J132" s="7"/>
      <c r="K132" s="62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 ht="15.75" customHeight="1">
      <c r="A133" s="6">
        <v>115</v>
      </c>
      <c r="B133" s="7"/>
      <c r="C133" s="7"/>
      <c r="D133" s="7"/>
      <c r="E133" s="41"/>
      <c r="F133" s="7"/>
      <c r="G133" s="7"/>
      <c r="H133" s="7"/>
      <c r="I133" s="7"/>
      <c r="J133" s="7"/>
      <c r="K133" s="62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 ht="15.75" customHeight="1">
      <c r="A134" s="6">
        <v>116</v>
      </c>
      <c r="B134" s="7"/>
      <c r="C134" s="7"/>
      <c r="D134" s="7"/>
      <c r="E134" s="41"/>
      <c r="F134" s="7"/>
      <c r="G134" s="7"/>
      <c r="H134" s="7"/>
      <c r="I134" s="7"/>
      <c r="J134" s="7"/>
      <c r="K134" s="62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 ht="15.75" customHeight="1">
      <c r="A135" s="6">
        <v>117</v>
      </c>
      <c r="B135" s="7"/>
      <c r="C135" s="7"/>
      <c r="D135" s="7"/>
      <c r="E135" s="41"/>
      <c r="F135" s="7"/>
      <c r="G135" s="7"/>
      <c r="H135" s="7"/>
      <c r="I135" s="7"/>
      <c r="J135" s="7"/>
      <c r="K135" s="62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 ht="15.75" customHeight="1">
      <c r="A136" s="6">
        <v>118</v>
      </c>
      <c r="B136" s="7"/>
      <c r="C136" s="7"/>
      <c r="D136" s="7"/>
      <c r="E136" s="41"/>
      <c r="F136" s="7"/>
      <c r="G136" s="7"/>
      <c r="H136" s="7"/>
      <c r="I136" s="7"/>
      <c r="J136" s="7"/>
      <c r="K136" s="62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 ht="15.75" customHeight="1">
      <c r="A137" s="6">
        <v>119</v>
      </c>
      <c r="B137" s="7"/>
      <c r="C137" s="7"/>
      <c r="D137" s="7"/>
      <c r="E137" s="41"/>
      <c r="F137" s="7"/>
      <c r="G137" s="7"/>
      <c r="H137" s="7"/>
      <c r="I137" s="7"/>
      <c r="J137" s="7"/>
      <c r="K137" s="62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 ht="15.75" customHeight="1">
      <c r="A138" s="6">
        <v>120</v>
      </c>
      <c r="B138" s="7"/>
      <c r="C138" s="7"/>
      <c r="D138" s="7"/>
      <c r="E138" s="41"/>
      <c r="F138" s="7"/>
      <c r="G138" s="7"/>
      <c r="H138" s="7"/>
      <c r="I138" s="7"/>
      <c r="J138" s="7"/>
      <c r="K138" s="62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 ht="15.75" customHeight="1">
      <c r="A139" s="6">
        <v>121</v>
      </c>
      <c r="B139" s="7"/>
      <c r="C139" s="7"/>
      <c r="D139" s="7"/>
      <c r="E139" s="7"/>
      <c r="F139" s="7"/>
      <c r="G139" s="7"/>
      <c r="H139" s="7"/>
      <c r="I139" s="7"/>
      <c r="J139" s="7"/>
      <c r="K139" s="62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 ht="15.75" customHeight="1">
      <c r="A140" s="6">
        <v>122</v>
      </c>
      <c r="B140" s="7"/>
      <c r="C140" s="7"/>
      <c r="D140" s="7"/>
      <c r="E140" s="41"/>
      <c r="F140" s="7"/>
      <c r="G140" s="7"/>
      <c r="H140" s="7"/>
      <c r="I140" s="7"/>
      <c r="J140" s="7"/>
      <c r="K140" s="62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 ht="15.75" customHeight="1">
      <c r="A141" s="6">
        <v>123</v>
      </c>
      <c r="B141" s="7"/>
      <c r="C141" s="7"/>
      <c r="D141" s="7"/>
      <c r="E141" s="41"/>
      <c r="F141" s="7"/>
      <c r="G141" s="7"/>
      <c r="H141" s="7"/>
      <c r="I141" s="7"/>
      <c r="J141" s="7"/>
      <c r="K141" s="62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 ht="15.75" customHeight="1">
      <c r="A142" s="6">
        <v>124</v>
      </c>
      <c r="B142" s="7"/>
      <c r="C142" s="7"/>
      <c r="D142" s="7"/>
      <c r="E142" s="7"/>
      <c r="F142" s="7"/>
      <c r="G142" s="7"/>
      <c r="H142" s="7"/>
      <c r="I142" s="7"/>
      <c r="J142" s="7"/>
      <c r="K142" s="62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 ht="15.75" customHeight="1">
      <c r="A143" s="6">
        <v>125</v>
      </c>
      <c r="B143" s="7"/>
      <c r="C143" s="7"/>
      <c r="D143" s="7"/>
      <c r="E143" s="7"/>
      <c r="F143" s="7"/>
      <c r="G143" s="7"/>
      <c r="H143" s="7"/>
      <c r="I143" s="7"/>
      <c r="J143" s="7"/>
      <c r="K143" s="62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 ht="15.75" customHeight="1">
      <c r="A144" s="6">
        <v>126</v>
      </c>
      <c r="B144" s="7"/>
      <c r="C144" s="7"/>
      <c r="D144" s="7"/>
      <c r="E144" s="7"/>
      <c r="F144" s="7"/>
      <c r="G144" s="7"/>
      <c r="H144" s="7"/>
      <c r="I144" s="7"/>
      <c r="J144" s="7"/>
      <c r="K144" s="62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 ht="15.75" customHeight="1">
      <c r="A145" s="6">
        <v>127</v>
      </c>
      <c r="B145" s="7"/>
      <c r="C145" s="7"/>
      <c r="D145" s="7"/>
      <c r="E145" s="7"/>
      <c r="F145" s="7"/>
      <c r="G145" s="7"/>
      <c r="H145" s="7"/>
      <c r="I145" s="7"/>
      <c r="J145" s="7"/>
      <c r="K145" s="62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 ht="15.75" customHeight="1">
      <c r="A146" s="6">
        <v>128</v>
      </c>
      <c r="B146" s="7"/>
      <c r="C146" s="7"/>
      <c r="D146" s="7"/>
      <c r="E146" s="7"/>
      <c r="F146" s="7"/>
      <c r="G146" s="7"/>
      <c r="H146" s="7"/>
      <c r="I146" s="7"/>
      <c r="J146" s="7"/>
      <c r="K146" s="62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 ht="15.75" customHeight="1">
      <c r="A147" s="6">
        <v>129</v>
      </c>
      <c r="B147" s="7"/>
      <c r="C147" s="7"/>
      <c r="D147" s="7"/>
      <c r="E147" s="7"/>
      <c r="F147" s="7"/>
      <c r="G147" s="7"/>
      <c r="H147" s="7"/>
      <c r="I147" s="7"/>
      <c r="J147" s="7"/>
      <c r="K147" s="62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 ht="15.75" customHeight="1">
      <c r="A148" s="6">
        <v>130</v>
      </c>
      <c r="B148" s="7"/>
      <c r="C148" s="7"/>
      <c r="D148" s="7"/>
      <c r="E148" s="7"/>
      <c r="F148" s="7"/>
      <c r="G148" s="7"/>
      <c r="H148" s="7"/>
      <c r="I148" s="7"/>
      <c r="J148" s="7"/>
      <c r="K148" s="62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 ht="15.75" customHeight="1">
      <c r="A149" s="6">
        <v>131</v>
      </c>
      <c r="B149" s="7"/>
      <c r="C149" s="7"/>
      <c r="D149" s="7"/>
      <c r="E149" s="7"/>
      <c r="F149" s="7"/>
      <c r="G149" s="7"/>
      <c r="H149" s="7"/>
      <c r="I149" s="7"/>
      <c r="J149" s="7"/>
      <c r="K149" s="62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 ht="15.75" customHeight="1">
      <c r="A150" s="6">
        <v>132</v>
      </c>
      <c r="B150" s="7"/>
      <c r="C150" s="7"/>
      <c r="D150" s="7"/>
      <c r="E150" s="7"/>
      <c r="F150" s="7"/>
      <c r="G150" s="7"/>
      <c r="H150" s="7"/>
      <c r="I150" s="7"/>
      <c r="J150" s="7"/>
      <c r="K150" s="62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 ht="15.75" customHeight="1">
      <c r="A151" s="6">
        <v>133</v>
      </c>
      <c r="B151" s="7"/>
      <c r="C151" s="7"/>
      <c r="D151" s="7"/>
      <c r="E151" s="7"/>
      <c r="F151" s="7"/>
      <c r="G151" s="7"/>
      <c r="H151" s="7"/>
      <c r="I151" s="7"/>
      <c r="J151" s="7"/>
      <c r="K151" s="62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 ht="15.75" customHeight="1">
      <c r="A152" s="6">
        <v>134</v>
      </c>
      <c r="B152" s="7"/>
      <c r="C152" s="7"/>
      <c r="D152" s="7"/>
      <c r="E152" s="7"/>
      <c r="F152" s="7"/>
      <c r="G152" s="7"/>
      <c r="H152" s="7"/>
      <c r="I152" s="7"/>
      <c r="J152" s="7"/>
      <c r="K152" s="62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 ht="15.75" customHeight="1">
      <c r="A153" s="6">
        <v>135</v>
      </c>
      <c r="B153" s="7"/>
      <c r="C153" s="7"/>
      <c r="D153" s="7"/>
      <c r="E153" s="7"/>
      <c r="F153" s="7"/>
      <c r="G153" s="7"/>
      <c r="H153" s="7"/>
      <c r="I153" s="7"/>
      <c r="J153" s="7"/>
      <c r="K153" s="62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 ht="15.75" customHeight="1">
      <c r="A154" s="6">
        <v>136</v>
      </c>
      <c r="B154" s="7"/>
      <c r="C154" s="7"/>
      <c r="D154" s="7"/>
      <c r="E154" s="7"/>
      <c r="F154" s="7"/>
      <c r="G154" s="7"/>
      <c r="H154" s="7"/>
      <c r="I154" s="7"/>
      <c r="J154" s="7"/>
      <c r="K154" s="62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 ht="15.75" customHeight="1">
      <c r="A155" s="6">
        <v>137</v>
      </c>
      <c r="B155" s="7"/>
      <c r="C155" s="7"/>
      <c r="D155" s="7"/>
      <c r="E155" s="7"/>
      <c r="F155" s="7"/>
      <c r="G155" s="7"/>
      <c r="H155" s="7"/>
      <c r="I155" s="7"/>
      <c r="J155" s="7"/>
      <c r="K155" s="62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 ht="15.75" customHeight="1">
      <c r="A156" s="6">
        <v>138</v>
      </c>
      <c r="B156" s="7"/>
      <c r="C156" s="7"/>
      <c r="D156" s="7"/>
      <c r="E156" s="7"/>
      <c r="F156" s="7"/>
      <c r="G156" s="7"/>
      <c r="H156" s="7"/>
      <c r="I156" s="7"/>
      <c r="J156" s="7"/>
      <c r="K156" s="62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 ht="15.75" customHeight="1">
      <c r="A157" s="6">
        <v>139</v>
      </c>
      <c r="B157" s="7"/>
      <c r="C157" s="7"/>
      <c r="D157" s="7"/>
      <c r="E157" s="7"/>
      <c r="F157" s="7"/>
      <c r="G157" s="7"/>
      <c r="H157" s="7"/>
      <c r="I157" s="7"/>
      <c r="J157" s="7"/>
      <c r="K157" s="62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 ht="15.75" customHeight="1">
      <c r="A158" s="6">
        <v>140</v>
      </c>
      <c r="B158" s="7"/>
      <c r="C158" s="7"/>
      <c r="D158" s="7"/>
      <c r="E158" s="7"/>
      <c r="F158" s="7"/>
      <c r="G158" s="7"/>
      <c r="H158" s="7"/>
      <c r="I158" s="7"/>
      <c r="J158" s="7"/>
      <c r="K158" s="62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 ht="15.75" customHeight="1">
      <c r="A159" s="6">
        <v>141</v>
      </c>
      <c r="B159" s="7"/>
      <c r="C159" s="7"/>
      <c r="D159" s="7"/>
      <c r="E159" s="7"/>
      <c r="F159" s="7"/>
      <c r="G159" s="7"/>
      <c r="H159" s="7"/>
      <c r="I159" s="7"/>
      <c r="J159" s="7"/>
      <c r="K159" s="62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 ht="15.75" customHeight="1">
      <c r="A160" s="6">
        <v>142</v>
      </c>
      <c r="B160" s="7"/>
      <c r="C160" s="7"/>
      <c r="D160" s="7"/>
      <c r="E160" s="7"/>
      <c r="F160" s="7"/>
      <c r="G160" s="7"/>
      <c r="H160" s="7"/>
      <c r="I160" s="7"/>
      <c r="J160" s="7"/>
      <c r="K160" s="62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 ht="15.75" customHeight="1">
      <c r="A161" s="6">
        <v>143</v>
      </c>
      <c r="B161" s="7"/>
      <c r="C161" s="7"/>
      <c r="D161" s="7"/>
      <c r="E161" s="7"/>
      <c r="F161" s="7"/>
      <c r="G161" s="7"/>
      <c r="H161" s="7"/>
      <c r="I161" s="7"/>
      <c r="J161" s="7"/>
      <c r="K161" s="62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 ht="15.75" customHeight="1">
      <c r="A162" s="6">
        <v>144</v>
      </c>
      <c r="B162" s="7"/>
      <c r="C162" s="7"/>
      <c r="D162" s="7"/>
      <c r="E162" s="7"/>
      <c r="F162" s="7"/>
      <c r="G162" s="7"/>
      <c r="H162" s="7"/>
      <c r="I162" s="7"/>
      <c r="J162" s="7"/>
      <c r="K162" s="62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1:25" ht="15.75" customHeight="1">
      <c r="A163" s="6">
        <v>145</v>
      </c>
      <c r="B163" s="7"/>
      <c r="C163" s="7"/>
      <c r="D163" s="7"/>
      <c r="E163" s="7"/>
      <c r="F163" s="7"/>
      <c r="G163" s="7"/>
      <c r="H163" s="7"/>
      <c r="I163" s="7"/>
      <c r="J163" s="7"/>
      <c r="K163" s="62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 ht="15.75" customHeight="1">
      <c r="A164" s="6">
        <v>146</v>
      </c>
      <c r="B164" s="7"/>
      <c r="C164" s="7"/>
      <c r="D164" s="7"/>
      <c r="E164" s="7"/>
      <c r="F164" s="7"/>
      <c r="G164" s="7"/>
      <c r="H164" s="7"/>
      <c r="I164" s="7"/>
      <c r="J164" s="7"/>
      <c r="K164" s="62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 ht="15.75" customHeight="1">
      <c r="A165" s="6">
        <v>147</v>
      </c>
      <c r="B165" s="7"/>
      <c r="C165" s="7"/>
      <c r="D165" s="7"/>
      <c r="E165" s="7"/>
      <c r="F165" s="7"/>
      <c r="G165" s="7"/>
      <c r="H165" s="7"/>
      <c r="I165" s="7"/>
      <c r="J165" s="7"/>
      <c r="K165" s="62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 ht="15.75" customHeight="1">
      <c r="A166" s="6">
        <v>148</v>
      </c>
      <c r="B166" s="7"/>
      <c r="C166" s="7"/>
      <c r="D166" s="7"/>
      <c r="E166" s="7"/>
      <c r="F166" s="7"/>
      <c r="G166" s="7"/>
      <c r="H166" s="7"/>
      <c r="I166" s="7"/>
      <c r="J166" s="7"/>
      <c r="K166" s="62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 ht="15.75" customHeight="1">
      <c r="A167" s="6">
        <v>149</v>
      </c>
      <c r="B167" s="7"/>
      <c r="C167" s="7"/>
      <c r="D167" s="7"/>
      <c r="E167" s="7"/>
      <c r="F167" s="7"/>
      <c r="G167" s="7"/>
      <c r="H167" s="7"/>
      <c r="I167" s="7"/>
      <c r="J167" s="7"/>
      <c r="K167" s="62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 ht="15.75" customHeight="1">
      <c r="A168" s="6">
        <v>150</v>
      </c>
      <c r="B168" s="7"/>
      <c r="C168" s="7"/>
      <c r="D168" s="7"/>
      <c r="E168" s="7"/>
      <c r="F168" s="7"/>
      <c r="G168" s="7"/>
      <c r="H168" s="7"/>
      <c r="I168" s="7"/>
      <c r="J168" s="7"/>
      <c r="K168" s="62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 ht="15.75" customHeight="1">
      <c r="A169" s="6"/>
      <c r="B169" s="7"/>
      <c r="C169" s="7"/>
      <c r="D169" s="7"/>
      <c r="E169" s="7"/>
      <c r="F169" s="7"/>
      <c r="G169" s="7"/>
      <c r="H169" s="7"/>
      <c r="I169" s="7"/>
      <c r="J169" s="7"/>
      <c r="K169" s="62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 ht="15.75" customHeight="1">
      <c r="A170" s="6"/>
      <c r="B170" s="7"/>
      <c r="C170" s="7"/>
      <c r="D170" s="7"/>
      <c r="E170" s="7"/>
      <c r="F170" s="7"/>
      <c r="G170" s="7"/>
      <c r="H170" s="7"/>
      <c r="I170" s="7"/>
      <c r="J170" s="7"/>
      <c r="K170" s="62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 ht="15.75" customHeight="1">
      <c r="A171" s="6"/>
      <c r="B171" s="7"/>
      <c r="C171" s="7"/>
      <c r="D171" s="7"/>
      <c r="E171" s="7"/>
      <c r="F171" s="7"/>
      <c r="G171" s="7"/>
      <c r="H171" s="7"/>
      <c r="I171" s="7"/>
      <c r="J171" s="7"/>
      <c r="K171" s="62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62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62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62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62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62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62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62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62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62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62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62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62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62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62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62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62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62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62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62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62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62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62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62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62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62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62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62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62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62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62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62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62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62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62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62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62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62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62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62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62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62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62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62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62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62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62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62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62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62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spans="1:25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62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spans="1:25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62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1:25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62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1:25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62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spans="1: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62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spans="1:25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62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spans="1:25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62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spans="1:25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62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spans="1:25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62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1:25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62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spans="1:25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62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1:25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62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spans="1:25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62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spans="1:25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62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spans="1:2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62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spans="1:25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62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spans="1:25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62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1:25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62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1:25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62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1:25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62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spans="1:25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62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spans="1:25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62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spans="1:25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62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1:25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62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1:2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62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1:25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62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spans="1:25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62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spans="1:25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62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1:25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62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1:25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62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spans="1:25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62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1:25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62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spans="1:25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62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spans="1:25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62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spans="1:2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62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1:25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62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spans="1:25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62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5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62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spans="1:25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62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spans="1:25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62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spans="1:25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62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spans="1:25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62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spans="1:25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62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spans="1:25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62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spans="1:2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62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spans="1:25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62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spans="1:25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62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spans="1:25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62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spans="1:25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62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spans="1:25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62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spans="1:25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62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spans="1:25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62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spans="1:25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62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spans="1:25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62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spans="1:2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62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spans="1:25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62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spans="1:25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62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spans="1:25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62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spans="1:25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62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spans="1:25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62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spans="1:25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62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spans="1:25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62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spans="1:25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62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spans="1:25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62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spans="1:2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62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spans="1:25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62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spans="1:25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62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spans="1:25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62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spans="1:25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62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spans="1:25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62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spans="1:25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62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spans="1:25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62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spans="1:25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62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spans="1:25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62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spans="1:2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62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spans="1:25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62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spans="1:25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62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spans="1:25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62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spans="1:25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62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spans="1:25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62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spans="1:25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62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spans="1:25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62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spans="1:25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62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spans="1:25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62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spans="1:2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62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spans="1:25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62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spans="1:25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62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spans="1:25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62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spans="1:25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62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spans="1:25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62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spans="1:25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62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spans="1:25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62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spans="1:25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62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spans="1:25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62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spans="1:2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62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spans="1:25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62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spans="1:25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62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spans="1:25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62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spans="1:25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62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spans="1:25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62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spans="1:25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62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spans="1:25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62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spans="1:25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62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spans="1:25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62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spans="1: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62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spans="1:25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62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spans="1:25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62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spans="1:25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62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spans="1:25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62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spans="1:25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62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spans="1:25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62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spans="1:25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62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spans="1:25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62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spans="1:25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62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spans="1:2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62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spans="1:25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62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spans="1:25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62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spans="1:25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62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spans="1:25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62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spans="1:25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62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spans="1:25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62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spans="1:25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62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spans="1:25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62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spans="1:25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62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spans="1:2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62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spans="1:25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62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spans="1:25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62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spans="1:25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62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spans="1:25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62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spans="1:25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62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spans="1:25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62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spans="1:25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62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spans="1:25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62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spans="1:25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62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spans="1:2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62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spans="1:25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62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spans="1:25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62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spans="1:25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62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spans="1:25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62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spans="1:25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62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spans="1:25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62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spans="1:25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62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spans="1:25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62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spans="1:25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62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spans="1:2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62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spans="1:25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62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spans="1:25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62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spans="1:25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62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7:D17"/>
    <mergeCell ref="E17:I17"/>
    <mergeCell ref="A1:I2"/>
    <mergeCell ref="A3:I3"/>
    <mergeCell ref="A4:E4"/>
    <mergeCell ref="F4:I4"/>
    <mergeCell ref="A16:I16"/>
  </mergeCells>
  <dataValidations count="4">
    <dataValidation type="list" allowBlank="1" showErrorMessage="1" sqref="H44 H53 H56 H61 H91 H96 H121" xr:uid="{00000000-0002-0000-0A00-000000000000}">
      <formula1>"Pending,Sent,Followed Up,Responded,Bounced"</formula1>
    </dataValidation>
    <dataValidation type="list" allowBlank="1" showErrorMessage="1" sqref="H72" xr:uid="{00000000-0002-0000-0A00-000001000000}">
      <formula1>"Pending,Sent,Followed Up,Responded,OOO"</formula1>
    </dataValidation>
    <dataValidation type="list" allowBlank="1" showErrorMessage="1" sqref="H19:H43 H45:H52 H54:H55 H57:H60 H62:H71 H73:H90 H92:H95 H101:H120 H126:H168" xr:uid="{00000000-0002-0000-0A00-000002000000}">
      <formula1>"Pending,Sent,Followed Up,Responded,Completed"</formula1>
    </dataValidation>
    <dataValidation type="list" allowBlank="1" showErrorMessage="1" sqref="H97:H100 H122:H125" xr:uid="{00000000-0002-0000-0A00-000003000000}">
      <formula1>"Pending,Sent,Followed Up,Responded"</formula1>
    </dataValidation>
  </dataValidations>
  <hyperlinks>
    <hyperlink ref="A1" location="OVERVIEW!A1" display="Jeffries Application Tracker" xr:uid="{00000000-0004-0000-0A00-000000000000}"/>
    <hyperlink ref="E19" r:id="rId1" xr:uid="{64AE8E61-B1A1-4037-9FE6-9AA40ED3666B}"/>
    <hyperlink ref="E28" r:id="rId2" xr:uid="{6B8DE313-9F5B-498C-A569-BA23EC70350E}"/>
    <hyperlink ref="E29" r:id="rId3" xr:uid="{B33110AF-5F2A-4C5D-BC5D-844AD7351BF6}"/>
    <hyperlink ref="E27" r:id="rId4" xr:uid="{8B67E704-95C1-44A0-BBC2-74F60A034C64}"/>
    <hyperlink ref="E26" r:id="rId5" xr:uid="{7CE24135-59E0-4D8D-93A2-88D33CD3FB62}"/>
    <hyperlink ref="E24" r:id="rId6" xr:uid="{14C17A2A-988B-46F7-8337-EAFAE590BD74}"/>
    <hyperlink ref="E25" r:id="rId7" xr:uid="{74FE842B-D5E1-41C5-8FBF-3709284E38E5}"/>
    <hyperlink ref="E23" r:id="rId8" xr:uid="{936AA917-22A8-4D39-875D-886E38A97B6E}"/>
    <hyperlink ref="E21" r:id="rId9" xr:uid="{DC6BBD41-2A6F-4DA8-8FCD-40D6AAF393E7}"/>
    <hyperlink ref="E20" r:id="rId10" xr:uid="{89364844-CE62-409F-BE9A-7ACFE8B6ACF4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F61C1-4D5C-4F61-BEFE-2910F8195995}">
  <sheetPr>
    <outlinePr summaryBelow="0" summaryRight="0"/>
  </sheetPr>
  <dimension ref="A1:Y1000"/>
  <sheetViews>
    <sheetView workbookViewId="0">
      <pane ySplit="2" topLeftCell="A3" activePane="bottomLeft" state="frozen"/>
      <selection pane="bottomLeft" activeCell="C30" sqref="C30"/>
    </sheetView>
  </sheetViews>
  <sheetFormatPr defaultColWidth="12.6328125" defaultRowHeight="15" customHeight="1"/>
  <cols>
    <col min="1" max="1" width="3.90625" customWidth="1"/>
    <col min="2" max="2" width="23.36328125" customWidth="1"/>
    <col min="3" max="3" width="29.26953125" customWidth="1"/>
    <col min="4" max="4" width="14.90625" customWidth="1"/>
    <col min="5" max="6" width="14" customWidth="1"/>
    <col min="7" max="8" width="12.26953125" customWidth="1"/>
    <col min="9" max="9" width="50.90625" customWidth="1"/>
  </cols>
  <sheetData>
    <row r="1" spans="1:25" ht="24.75" customHeight="1">
      <c r="A1" s="115" t="s">
        <v>799</v>
      </c>
      <c r="B1" s="72"/>
      <c r="C1" s="72"/>
      <c r="D1" s="72"/>
      <c r="E1" s="72"/>
      <c r="F1" s="72"/>
      <c r="G1" s="72"/>
      <c r="H1" s="72"/>
      <c r="I1" s="72"/>
      <c r="J1" s="7"/>
      <c r="K1" s="62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15.75" customHeight="1">
      <c r="A2" s="72"/>
      <c r="B2" s="72"/>
      <c r="C2" s="72"/>
      <c r="D2" s="72"/>
      <c r="E2" s="72"/>
      <c r="F2" s="72"/>
      <c r="G2" s="72"/>
      <c r="H2" s="72"/>
      <c r="I2" s="72"/>
      <c r="J2" s="7"/>
      <c r="K2" s="62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10.5" customHeight="1">
      <c r="A3" s="97"/>
      <c r="B3" s="72"/>
      <c r="C3" s="72"/>
      <c r="D3" s="72"/>
      <c r="E3" s="72"/>
      <c r="F3" s="72"/>
      <c r="G3" s="72"/>
      <c r="H3" s="72"/>
      <c r="I3" s="72"/>
      <c r="J3" s="7"/>
      <c r="K3" s="62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15.75" customHeight="1">
      <c r="A4" s="99" t="s">
        <v>564</v>
      </c>
      <c r="B4" s="99"/>
      <c r="C4" s="99"/>
      <c r="D4" s="99"/>
      <c r="E4" s="99"/>
      <c r="F4" s="100" t="s">
        <v>566</v>
      </c>
      <c r="G4" s="72"/>
      <c r="H4" s="72"/>
      <c r="I4" s="72"/>
      <c r="J4" s="63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5.75" customHeight="1">
      <c r="A5" s="51" t="s">
        <v>6</v>
      </c>
      <c r="B5" s="52" t="s">
        <v>567</v>
      </c>
      <c r="C5" s="52" t="s">
        <v>568</v>
      </c>
      <c r="D5" s="52" t="s">
        <v>569</v>
      </c>
      <c r="E5" s="52" t="s">
        <v>571</v>
      </c>
      <c r="F5" s="52" t="s">
        <v>572</v>
      </c>
      <c r="G5" s="52" t="s">
        <v>566</v>
      </c>
      <c r="H5" s="52" t="s">
        <v>573</v>
      </c>
      <c r="I5" s="52" t="s">
        <v>574</v>
      </c>
      <c r="J5" s="63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15.75" customHeight="1">
      <c r="A6" s="7">
        <v>1</v>
      </c>
      <c r="B6" s="7"/>
      <c r="C6" s="7"/>
      <c r="D6" s="7"/>
      <c r="E6" s="14"/>
      <c r="F6" s="14"/>
      <c r="G6" s="53"/>
      <c r="H6" s="7"/>
      <c r="I6" s="7"/>
      <c r="J6" s="63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15.75" customHeight="1">
      <c r="A7" s="7">
        <v>2</v>
      </c>
      <c r="B7" s="7"/>
      <c r="C7" s="7"/>
      <c r="D7" s="7"/>
      <c r="E7" s="14"/>
      <c r="F7" s="14"/>
      <c r="G7" s="53"/>
      <c r="H7" s="7"/>
      <c r="I7" s="7"/>
      <c r="J7" s="63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15.75" customHeight="1">
      <c r="A8" s="7">
        <v>3</v>
      </c>
      <c r="B8" s="7"/>
      <c r="C8" s="7"/>
      <c r="D8" s="7"/>
      <c r="E8" s="14"/>
      <c r="F8" s="14"/>
      <c r="G8" s="53"/>
      <c r="H8" s="7"/>
      <c r="I8" s="14"/>
      <c r="J8" s="63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5.75" customHeight="1">
      <c r="A9" s="7">
        <v>4</v>
      </c>
      <c r="B9" s="7"/>
      <c r="C9" s="7"/>
      <c r="D9" s="7"/>
      <c r="E9" s="14"/>
      <c r="F9" s="7"/>
      <c r="G9" s="53"/>
      <c r="H9" s="7"/>
      <c r="I9" s="7"/>
      <c r="J9" s="63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5.75" customHeight="1">
      <c r="A10" s="7">
        <v>5</v>
      </c>
      <c r="B10" s="7"/>
      <c r="C10" s="7"/>
      <c r="D10" s="7"/>
      <c r="E10" s="14"/>
      <c r="F10" s="7"/>
      <c r="G10" s="53"/>
      <c r="H10" s="7"/>
      <c r="I10" s="7"/>
      <c r="J10" s="63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5.75" customHeight="1">
      <c r="A11" s="7">
        <v>6</v>
      </c>
      <c r="B11" s="7"/>
      <c r="C11" s="7"/>
      <c r="D11" s="7"/>
      <c r="E11" s="14"/>
      <c r="F11" s="7"/>
      <c r="G11" s="53"/>
      <c r="H11" s="7"/>
      <c r="I11" s="7"/>
      <c r="J11" s="63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15.75" customHeight="1">
      <c r="A12" s="7">
        <v>7</v>
      </c>
      <c r="B12" s="7"/>
      <c r="C12" s="7"/>
      <c r="D12" s="7"/>
      <c r="E12" s="14"/>
      <c r="F12" s="7"/>
      <c r="G12" s="53"/>
      <c r="H12" s="7"/>
      <c r="I12" s="7"/>
      <c r="J12" s="63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15.75" customHeight="1">
      <c r="A13" s="7">
        <v>8</v>
      </c>
      <c r="B13" s="7"/>
      <c r="C13" s="7"/>
      <c r="D13" s="7"/>
      <c r="E13" s="14"/>
      <c r="F13" s="7"/>
      <c r="G13" s="53"/>
      <c r="H13" s="7"/>
      <c r="I13" s="7"/>
      <c r="J13" s="63"/>
      <c r="K13" s="64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15.75" customHeight="1">
      <c r="A14" s="7">
        <v>9</v>
      </c>
      <c r="B14" s="7"/>
      <c r="C14" s="7"/>
      <c r="D14" s="7"/>
      <c r="E14" s="14"/>
      <c r="F14" s="7"/>
      <c r="G14" s="60"/>
      <c r="H14" s="7"/>
      <c r="I14" s="7"/>
      <c r="J14" s="63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5.75" customHeight="1">
      <c r="A15" s="7">
        <v>10</v>
      </c>
      <c r="B15" s="7"/>
      <c r="C15" s="7"/>
      <c r="D15" s="7"/>
      <c r="E15" s="14"/>
      <c r="F15" s="7"/>
      <c r="G15" s="53"/>
      <c r="H15" s="7"/>
      <c r="I15" s="7"/>
      <c r="J15" s="63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0.5" customHeight="1">
      <c r="A16" s="97"/>
      <c r="B16" s="72"/>
      <c r="C16" s="72"/>
      <c r="D16" s="72"/>
      <c r="E16" s="72"/>
      <c r="F16" s="72"/>
      <c r="G16" s="72"/>
      <c r="H16" s="72"/>
      <c r="I16" s="72"/>
      <c r="J16" s="7"/>
      <c r="K16" s="62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ht="15.75" customHeight="1">
      <c r="A17" s="99" t="s">
        <v>564</v>
      </c>
      <c r="B17" s="72"/>
      <c r="C17" s="72"/>
      <c r="D17" s="72"/>
      <c r="E17" s="100" t="s">
        <v>598</v>
      </c>
      <c r="F17" s="72"/>
      <c r="G17" s="72"/>
      <c r="H17" s="72"/>
      <c r="I17" s="72"/>
      <c r="J17" s="7"/>
      <c r="K17" s="62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ht="15.75" customHeight="1">
      <c r="A18" s="52" t="s">
        <v>6</v>
      </c>
      <c r="B18" s="52"/>
      <c r="C18" s="52" t="s">
        <v>568</v>
      </c>
      <c r="D18" s="52" t="s">
        <v>569</v>
      </c>
      <c r="E18" s="52" t="s">
        <v>600</v>
      </c>
      <c r="F18" s="52"/>
      <c r="G18" s="52"/>
      <c r="H18" s="52" t="s">
        <v>604</v>
      </c>
      <c r="I18" s="52" t="s">
        <v>605</v>
      </c>
      <c r="J18" s="7"/>
      <c r="K18" s="62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ht="15.75" customHeight="1">
      <c r="A19" s="7">
        <v>1</v>
      </c>
      <c r="B19" s="7" t="s">
        <v>800</v>
      </c>
      <c r="C19" s="7"/>
      <c r="D19" s="7" t="s">
        <v>735</v>
      </c>
      <c r="E19" s="103" t="s">
        <v>801</v>
      </c>
      <c r="F19" s="7"/>
      <c r="G19" s="7"/>
      <c r="H19" s="7"/>
      <c r="I19" s="7"/>
      <c r="J19" s="7"/>
      <c r="K19" s="62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ht="15.75" customHeight="1">
      <c r="A20" s="7">
        <v>2</v>
      </c>
      <c r="B20" s="7" t="s">
        <v>802</v>
      </c>
      <c r="C20" s="7"/>
      <c r="D20" s="7" t="s">
        <v>705</v>
      </c>
      <c r="E20" s="68" t="s">
        <v>803</v>
      </c>
      <c r="F20" s="7"/>
      <c r="G20" s="7"/>
      <c r="H20" s="7"/>
      <c r="I20" s="7"/>
      <c r="J20" s="7"/>
      <c r="K20" s="62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ht="15.75" customHeight="1">
      <c r="A21" s="7">
        <v>3</v>
      </c>
      <c r="B21" s="7" t="s">
        <v>804</v>
      </c>
      <c r="C21" s="7"/>
      <c r="D21" s="7" t="s">
        <v>711</v>
      </c>
      <c r="E21" s="68" t="s">
        <v>805</v>
      </c>
      <c r="F21" s="7"/>
      <c r="G21" s="7"/>
      <c r="H21" s="7"/>
      <c r="I21" s="7" t="s">
        <v>758</v>
      </c>
      <c r="J21" s="7"/>
      <c r="K21" s="62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ht="15.75" customHeight="1">
      <c r="A22" s="6">
        <v>4</v>
      </c>
      <c r="B22" s="7" t="s">
        <v>806</v>
      </c>
      <c r="C22" s="7"/>
      <c r="D22" s="7" t="s">
        <v>785</v>
      </c>
      <c r="E22" s="7" t="s">
        <v>807</v>
      </c>
      <c r="F22" s="7"/>
      <c r="G22" s="7"/>
      <c r="H22" s="7"/>
      <c r="I22" s="7" t="s">
        <v>808</v>
      </c>
      <c r="J22" s="7"/>
      <c r="K22" s="62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ht="15.75" customHeight="1">
      <c r="A23" s="6">
        <v>5</v>
      </c>
      <c r="B23" s="7" t="s">
        <v>809</v>
      </c>
      <c r="C23" s="7"/>
      <c r="D23" s="7" t="s">
        <v>705</v>
      </c>
      <c r="E23" s="7" t="s">
        <v>810</v>
      </c>
      <c r="F23" s="7"/>
      <c r="G23" s="7"/>
      <c r="H23" s="7"/>
      <c r="I23" s="7" t="s">
        <v>811</v>
      </c>
      <c r="J23" s="7"/>
      <c r="K23" s="62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ht="15.75" customHeight="1">
      <c r="A24" s="6">
        <v>6</v>
      </c>
      <c r="B24" s="7" t="s">
        <v>813</v>
      </c>
      <c r="C24" s="7"/>
      <c r="D24" s="7" t="s">
        <v>705</v>
      </c>
      <c r="E24" s="70" t="s">
        <v>812</v>
      </c>
      <c r="F24" s="7"/>
      <c r="G24" s="7"/>
      <c r="H24" s="7"/>
      <c r="I24" s="7" t="s">
        <v>777</v>
      </c>
      <c r="J24" s="7"/>
      <c r="K24" s="62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ht="15.75" customHeight="1">
      <c r="A25" s="6">
        <v>7</v>
      </c>
      <c r="B25" s="7" t="s">
        <v>814</v>
      </c>
      <c r="C25" s="7"/>
      <c r="D25" s="7" t="s">
        <v>705</v>
      </c>
      <c r="E25" s="70" t="s">
        <v>815</v>
      </c>
      <c r="F25" s="7"/>
      <c r="G25" s="7"/>
      <c r="H25" s="7"/>
      <c r="I25" s="7" t="s">
        <v>816</v>
      </c>
      <c r="J25" s="7"/>
      <c r="K25" s="62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ht="15.75" customHeight="1">
      <c r="A26" s="6">
        <v>8</v>
      </c>
      <c r="B26" s="7" t="s">
        <v>817</v>
      </c>
      <c r="C26" s="7"/>
      <c r="D26" s="7" t="s">
        <v>705</v>
      </c>
      <c r="E26" s="41" t="s">
        <v>818</v>
      </c>
      <c r="F26" s="7"/>
      <c r="G26" s="7"/>
      <c r="H26" s="7"/>
      <c r="I26" s="7" t="s">
        <v>777</v>
      </c>
      <c r="J26" s="7"/>
      <c r="K26" s="62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 ht="15.75" customHeight="1">
      <c r="A27" s="6">
        <v>9</v>
      </c>
      <c r="B27" s="7" t="s">
        <v>819</v>
      </c>
      <c r="C27" s="7"/>
      <c r="D27" s="7" t="s">
        <v>705</v>
      </c>
      <c r="E27" s="41" t="s">
        <v>820</v>
      </c>
      <c r="F27" s="7"/>
      <c r="G27" s="7"/>
      <c r="H27" s="7"/>
      <c r="I27" s="7" t="s">
        <v>758</v>
      </c>
      <c r="J27" s="7"/>
      <c r="K27" s="62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ht="15.75" customHeight="1">
      <c r="A28" s="6">
        <v>10</v>
      </c>
      <c r="B28" s="7" t="s">
        <v>821</v>
      </c>
      <c r="C28" s="7"/>
      <c r="D28" s="7" t="s">
        <v>705</v>
      </c>
      <c r="E28" s="41" t="s">
        <v>822</v>
      </c>
      <c r="F28" s="7"/>
      <c r="G28" s="7"/>
      <c r="H28" s="7"/>
      <c r="I28" s="7" t="s">
        <v>758</v>
      </c>
      <c r="J28" s="7"/>
      <c r="K28" s="62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ht="15.75" customHeight="1">
      <c r="A29" s="6">
        <v>11</v>
      </c>
      <c r="B29" s="7" t="s">
        <v>823</v>
      </c>
      <c r="C29" s="7"/>
      <c r="D29" s="7" t="s">
        <v>705</v>
      </c>
      <c r="E29" s="41" t="s">
        <v>824</v>
      </c>
      <c r="F29" s="7"/>
      <c r="G29" s="7"/>
      <c r="H29" s="7"/>
      <c r="I29" s="7" t="s">
        <v>758</v>
      </c>
      <c r="J29" s="7"/>
      <c r="K29" s="62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ht="15.75" customHeight="1">
      <c r="A30" s="6">
        <v>12</v>
      </c>
      <c r="B30" s="7"/>
      <c r="C30" s="7"/>
      <c r="D30" s="7"/>
      <c r="E30" s="41"/>
      <c r="F30" s="7"/>
      <c r="G30" s="7"/>
      <c r="H30" s="7"/>
      <c r="I30" s="7"/>
      <c r="J30" s="7"/>
      <c r="K30" s="62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ht="15.75" customHeight="1">
      <c r="A31" s="6">
        <v>13</v>
      </c>
      <c r="B31" s="7"/>
      <c r="C31" s="7"/>
      <c r="D31" s="7"/>
      <c r="E31" s="41"/>
      <c r="F31" s="7"/>
      <c r="G31" s="7"/>
      <c r="H31" s="7"/>
      <c r="I31" s="7"/>
      <c r="J31" s="7"/>
      <c r="K31" s="62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ht="15.75" customHeight="1">
      <c r="A32" s="6">
        <v>14</v>
      </c>
      <c r="B32" s="7"/>
      <c r="C32" s="7"/>
      <c r="D32" s="7"/>
      <c r="E32" s="41"/>
      <c r="F32" s="7"/>
      <c r="G32" s="7"/>
      <c r="H32" s="7"/>
      <c r="I32" s="7"/>
      <c r="J32" s="7"/>
      <c r="K32" s="62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ht="15.75" customHeight="1">
      <c r="A33" s="6">
        <v>15</v>
      </c>
      <c r="B33" s="7"/>
      <c r="C33" s="7"/>
      <c r="D33" s="7"/>
      <c r="E33" s="41"/>
      <c r="F33" s="7"/>
      <c r="G33" s="7"/>
      <c r="H33" s="7"/>
      <c r="I33" s="7"/>
      <c r="J33" s="7"/>
      <c r="K33" s="62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ht="15.75" customHeight="1">
      <c r="A34" s="6">
        <v>16</v>
      </c>
      <c r="B34" s="7"/>
      <c r="C34" s="7"/>
      <c r="D34" s="7"/>
      <c r="E34" s="41"/>
      <c r="F34" s="7"/>
      <c r="G34" s="7"/>
      <c r="H34" s="7"/>
      <c r="I34" s="7"/>
      <c r="J34" s="7"/>
      <c r="K34" s="62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ht="15.75" customHeight="1">
      <c r="A35" s="6">
        <v>17</v>
      </c>
      <c r="B35" s="7"/>
      <c r="C35" s="7"/>
      <c r="D35" s="7"/>
      <c r="E35" s="41"/>
      <c r="F35" s="7"/>
      <c r="G35" s="7"/>
      <c r="H35" s="7"/>
      <c r="I35" s="7"/>
      <c r="J35" s="7"/>
      <c r="K35" s="62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ht="15.75" customHeight="1">
      <c r="A36" s="6">
        <v>18</v>
      </c>
      <c r="B36" s="7"/>
      <c r="C36" s="7"/>
      <c r="D36" s="7"/>
      <c r="E36" s="41"/>
      <c r="F36" s="7"/>
      <c r="G36" s="7"/>
      <c r="H36" s="7"/>
      <c r="I36" s="7"/>
      <c r="J36" s="7"/>
      <c r="K36" s="62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ht="15.75" customHeight="1">
      <c r="A37" s="6">
        <v>19</v>
      </c>
      <c r="B37" s="7"/>
      <c r="C37" s="7"/>
      <c r="D37" s="7"/>
      <c r="E37" s="56"/>
      <c r="F37" s="7"/>
      <c r="G37" s="7"/>
      <c r="H37" s="7"/>
      <c r="I37" s="7"/>
      <c r="J37" s="7"/>
      <c r="K37" s="62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ht="15.75" customHeight="1">
      <c r="A38" s="6">
        <v>20</v>
      </c>
      <c r="B38" s="7"/>
      <c r="C38" s="7"/>
      <c r="D38" s="7"/>
      <c r="E38" s="56"/>
      <c r="F38" s="7"/>
      <c r="G38" s="7"/>
      <c r="H38" s="7"/>
      <c r="I38" s="7"/>
      <c r="J38" s="7"/>
      <c r="K38" s="62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ht="15.75" customHeight="1">
      <c r="A39" s="6">
        <v>21</v>
      </c>
      <c r="B39" s="7"/>
      <c r="C39" s="7"/>
      <c r="D39" s="7"/>
      <c r="E39" s="56"/>
      <c r="F39" s="7"/>
      <c r="G39" s="7"/>
      <c r="H39" s="7"/>
      <c r="I39" s="7"/>
      <c r="J39" s="7"/>
      <c r="K39" s="62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ht="15.75" customHeight="1">
      <c r="A40" s="6">
        <v>22</v>
      </c>
      <c r="B40" s="7"/>
      <c r="C40" s="7"/>
      <c r="D40" s="7"/>
      <c r="E40" s="56"/>
      <c r="F40" s="7"/>
      <c r="G40" s="7"/>
      <c r="H40" s="7"/>
      <c r="I40" s="7"/>
      <c r="J40" s="7"/>
      <c r="K40" s="62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ht="15.75" customHeight="1">
      <c r="A41" s="6">
        <v>23</v>
      </c>
      <c r="B41" s="7"/>
      <c r="C41" s="7"/>
      <c r="D41" s="7"/>
      <c r="E41" s="41"/>
      <c r="F41" s="7"/>
      <c r="G41" s="7"/>
      <c r="H41" s="7"/>
      <c r="I41" s="7"/>
      <c r="J41" s="7"/>
      <c r="K41" s="62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ht="15.75" customHeight="1">
      <c r="A42" s="6">
        <v>24</v>
      </c>
      <c r="B42" s="7"/>
      <c r="C42" s="7"/>
      <c r="D42" s="7"/>
      <c r="E42" s="41"/>
      <c r="F42" s="7"/>
      <c r="G42" s="7"/>
      <c r="H42" s="7"/>
      <c r="I42" s="7"/>
      <c r="J42" s="7"/>
      <c r="K42" s="62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ht="15.75" customHeight="1">
      <c r="A43" s="6">
        <v>25</v>
      </c>
      <c r="B43" s="7"/>
      <c r="C43" s="7"/>
      <c r="D43" s="7"/>
      <c r="E43" s="41"/>
      <c r="F43" s="7"/>
      <c r="G43" s="7"/>
      <c r="H43" s="7"/>
      <c r="I43" s="7"/>
      <c r="J43" s="7"/>
      <c r="K43" s="62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ht="15.75" customHeight="1">
      <c r="A44" s="6">
        <v>26</v>
      </c>
      <c r="B44" s="7"/>
      <c r="C44" s="7"/>
      <c r="D44" s="7"/>
      <c r="E44" s="41"/>
      <c r="F44" s="7"/>
      <c r="G44" s="7"/>
      <c r="H44" s="7"/>
      <c r="I44" s="7"/>
      <c r="J44" s="7"/>
      <c r="K44" s="62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ht="15.75" customHeight="1">
      <c r="A45" s="6">
        <v>27</v>
      </c>
      <c r="B45" s="7"/>
      <c r="C45" s="7"/>
      <c r="D45" s="7"/>
      <c r="E45" s="41"/>
      <c r="F45" s="7"/>
      <c r="G45" s="7"/>
      <c r="H45" s="7"/>
      <c r="I45" s="7"/>
      <c r="J45" s="7"/>
      <c r="K45" s="62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ht="15.75" customHeight="1">
      <c r="A46" s="6">
        <v>28</v>
      </c>
      <c r="B46" s="7"/>
      <c r="C46" s="7"/>
      <c r="D46" s="7"/>
      <c r="E46" s="56"/>
      <c r="F46" s="7"/>
      <c r="G46" s="7"/>
      <c r="H46" s="7"/>
      <c r="I46" s="7"/>
      <c r="J46" s="7"/>
      <c r="K46" s="62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ht="15.75" customHeight="1">
      <c r="A47" s="6">
        <v>29</v>
      </c>
      <c r="B47" s="7"/>
      <c r="C47" s="7"/>
      <c r="D47" s="7"/>
      <c r="E47" s="56"/>
      <c r="F47" s="7"/>
      <c r="G47" s="7"/>
      <c r="H47" s="7"/>
      <c r="I47" s="7"/>
      <c r="J47" s="7"/>
      <c r="K47" s="62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ht="15.75" customHeight="1">
      <c r="A48" s="6">
        <v>30</v>
      </c>
      <c r="B48" s="7"/>
      <c r="C48" s="7"/>
      <c r="D48" s="7"/>
      <c r="E48" s="56"/>
      <c r="F48" s="7"/>
      <c r="G48" s="7"/>
      <c r="H48" s="7"/>
      <c r="I48" s="7"/>
      <c r="J48" s="7"/>
      <c r="K48" s="62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ht="15.75" customHeight="1">
      <c r="A49" s="6">
        <v>31</v>
      </c>
      <c r="B49" s="7"/>
      <c r="C49" s="7"/>
      <c r="D49" s="7"/>
      <c r="E49" s="56"/>
      <c r="F49" s="7"/>
      <c r="G49" s="7"/>
      <c r="H49" s="7"/>
      <c r="I49" s="7"/>
      <c r="J49" s="7"/>
      <c r="K49" s="62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ht="15.75" customHeight="1">
      <c r="A50" s="6">
        <v>32</v>
      </c>
      <c r="B50" s="7"/>
      <c r="C50" s="7"/>
      <c r="D50" s="7"/>
      <c r="E50" s="41"/>
      <c r="F50" s="7"/>
      <c r="G50" s="7"/>
      <c r="H50" s="7"/>
      <c r="I50" s="7"/>
      <c r="J50" s="7"/>
      <c r="K50" s="62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ht="15.75" customHeight="1">
      <c r="A51" s="6">
        <v>33</v>
      </c>
      <c r="B51" s="7"/>
      <c r="C51" s="7"/>
      <c r="D51" s="7"/>
      <c r="E51" s="41"/>
      <c r="F51" s="7"/>
      <c r="G51" s="7"/>
      <c r="H51" s="7"/>
      <c r="I51" s="7"/>
      <c r="J51" s="7"/>
      <c r="K51" s="62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ht="15.75" customHeight="1">
      <c r="A52" s="6">
        <v>34</v>
      </c>
      <c r="B52" s="7"/>
      <c r="C52" s="7"/>
      <c r="D52" s="7"/>
      <c r="E52" s="41"/>
      <c r="F52" s="7"/>
      <c r="G52" s="7"/>
      <c r="H52" s="7"/>
      <c r="I52" s="7"/>
      <c r="J52" s="7"/>
      <c r="K52" s="62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 ht="15.75" customHeight="1">
      <c r="A53" s="6">
        <v>35</v>
      </c>
      <c r="B53" s="7"/>
      <c r="C53" s="7"/>
      <c r="D53" s="7"/>
      <c r="E53" s="7"/>
      <c r="F53" s="7"/>
      <c r="G53" s="7"/>
      <c r="H53" s="7"/>
      <c r="I53" s="7"/>
      <c r="J53" s="7"/>
      <c r="K53" s="62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 ht="15.75" customHeight="1">
      <c r="A54" s="6">
        <v>36</v>
      </c>
      <c r="B54" s="7"/>
      <c r="C54" s="7"/>
      <c r="D54" s="7"/>
      <c r="E54" s="7"/>
      <c r="F54" s="7"/>
      <c r="G54" s="7"/>
      <c r="H54" s="7"/>
      <c r="I54" s="7"/>
      <c r="J54" s="7"/>
      <c r="K54" s="62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 ht="15.75" customHeight="1">
      <c r="A55" s="6">
        <v>37</v>
      </c>
      <c r="B55" s="7"/>
      <c r="C55" s="7"/>
      <c r="D55" s="7"/>
      <c r="E55" s="41"/>
      <c r="F55" s="7"/>
      <c r="G55" s="7"/>
      <c r="H55" s="7"/>
      <c r="I55" s="7"/>
      <c r="J55" s="7"/>
      <c r="K55" s="62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 ht="15.75" customHeight="1">
      <c r="A56" s="6">
        <v>38</v>
      </c>
      <c r="B56" s="7"/>
      <c r="C56" s="7"/>
      <c r="D56" s="7"/>
      <c r="E56" s="7"/>
      <c r="F56" s="7"/>
      <c r="G56" s="7"/>
      <c r="H56" s="7"/>
      <c r="I56" s="7"/>
      <c r="J56" s="7"/>
      <c r="K56" s="62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 ht="15.75" customHeight="1">
      <c r="A57" s="6">
        <v>39</v>
      </c>
      <c r="B57" s="7"/>
      <c r="C57" s="7"/>
      <c r="D57" s="7"/>
      <c r="E57" s="7"/>
      <c r="F57" s="7"/>
      <c r="G57" s="7"/>
      <c r="H57" s="7"/>
      <c r="I57" s="7"/>
      <c r="J57" s="7"/>
      <c r="K57" s="62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 ht="15.75" customHeight="1">
      <c r="A58" s="6">
        <v>40</v>
      </c>
      <c r="B58" s="7"/>
      <c r="C58" s="7"/>
      <c r="D58" s="7"/>
      <c r="E58" s="41"/>
      <c r="F58" s="7"/>
      <c r="G58" s="7"/>
      <c r="H58" s="7"/>
      <c r="I58" s="7"/>
      <c r="J58" s="7"/>
      <c r="K58" s="62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ht="15.75" customHeight="1">
      <c r="A59" s="6">
        <v>41</v>
      </c>
      <c r="B59" s="7"/>
      <c r="C59" s="7"/>
      <c r="D59" s="7"/>
      <c r="E59" s="41"/>
      <c r="F59" s="7"/>
      <c r="G59" s="7"/>
      <c r="H59" s="7"/>
      <c r="I59" s="7"/>
      <c r="J59" s="7"/>
      <c r="K59" s="62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ht="15.75" customHeight="1">
      <c r="A60" s="6">
        <v>42</v>
      </c>
      <c r="B60" s="7"/>
      <c r="C60" s="7"/>
      <c r="D60" s="7"/>
      <c r="E60" s="41"/>
      <c r="F60" s="7"/>
      <c r="G60" s="7"/>
      <c r="H60" s="7"/>
      <c r="I60" s="7"/>
      <c r="J60" s="7"/>
      <c r="K60" s="62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ht="15.75" customHeight="1">
      <c r="A61" s="6">
        <v>43</v>
      </c>
      <c r="B61" s="7"/>
      <c r="C61" s="7"/>
      <c r="D61" s="7"/>
      <c r="E61" s="41"/>
      <c r="F61" s="7"/>
      <c r="G61" s="7"/>
      <c r="H61" s="7"/>
      <c r="I61" s="7"/>
      <c r="J61" s="7"/>
      <c r="K61" s="62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 ht="15.75" customHeight="1">
      <c r="A62" s="6">
        <v>44</v>
      </c>
      <c r="B62" s="7"/>
      <c r="C62" s="7"/>
      <c r="D62" s="7"/>
      <c r="E62" s="41"/>
      <c r="F62" s="7"/>
      <c r="G62" s="7"/>
      <c r="H62" s="7"/>
      <c r="I62" s="7"/>
      <c r="J62" s="7"/>
      <c r="K62" s="62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 ht="15.75" customHeight="1">
      <c r="A63" s="6">
        <v>45</v>
      </c>
      <c r="B63" s="7"/>
      <c r="C63" s="7"/>
      <c r="D63" s="7"/>
      <c r="E63" s="41"/>
      <c r="F63" s="7"/>
      <c r="G63" s="7"/>
      <c r="H63" s="7"/>
      <c r="I63" s="7"/>
      <c r="J63" s="7"/>
      <c r="K63" s="62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 ht="15.75" customHeight="1">
      <c r="A64" s="6">
        <v>46</v>
      </c>
      <c r="B64" s="7"/>
      <c r="C64" s="7"/>
      <c r="D64" s="7"/>
      <c r="E64" s="7"/>
      <c r="F64" s="7"/>
      <c r="G64" s="7"/>
      <c r="H64" s="7"/>
      <c r="I64" s="7"/>
      <c r="J64" s="7"/>
      <c r="K64" s="62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 ht="15.75" customHeight="1">
      <c r="A65" s="6">
        <v>47</v>
      </c>
      <c r="B65" s="7"/>
      <c r="C65" s="7"/>
      <c r="D65" s="7"/>
      <c r="E65" s="41"/>
      <c r="F65" s="7"/>
      <c r="G65" s="7"/>
      <c r="H65" s="7"/>
      <c r="I65" s="7"/>
      <c r="J65" s="7"/>
      <c r="K65" s="62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 ht="15.75" customHeight="1">
      <c r="A66" s="6">
        <v>48</v>
      </c>
      <c r="B66" s="7"/>
      <c r="C66" s="7"/>
      <c r="D66" s="7"/>
      <c r="E66" s="41"/>
      <c r="F66" s="7"/>
      <c r="G66" s="7"/>
      <c r="H66" s="7"/>
      <c r="I66" s="7"/>
      <c r="J66" s="7"/>
      <c r="K66" s="62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 ht="15.75" customHeight="1">
      <c r="A67" s="6">
        <v>49</v>
      </c>
      <c r="B67" s="7"/>
      <c r="C67" s="7"/>
      <c r="D67" s="7"/>
      <c r="E67" s="41"/>
      <c r="F67" s="7"/>
      <c r="G67" s="7"/>
      <c r="H67" s="7"/>
      <c r="I67" s="7"/>
      <c r="J67" s="7"/>
      <c r="K67" s="62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ht="15.75" customHeight="1">
      <c r="A68" s="6">
        <v>50</v>
      </c>
      <c r="B68" s="7"/>
      <c r="C68" s="7"/>
      <c r="D68" s="7"/>
      <c r="E68" s="41"/>
      <c r="F68" s="7"/>
      <c r="G68" s="7"/>
      <c r="H68" s="7"/>
      <c r="I68" s="7"/>
      <c r="J68" s="7"/>
      <c r="K68" s="62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ht="15.75" customHeight="1">
      <c r="A69" s="6">
        <v>51</v>
      </c>
      <c r="B69" s="7"/>
      <c r="C69" s="7"/>
      <c r="D69" s="7"/>
      <c r="E69" s="41"/>
      <c r="F69" s="7"/>
      <c r="G69" s="7"/>
      <c r="H69" s="7"/>
      <c r="I69" s="7"/>
      <c r="J69" s="65"/>
      <c r="K69" s="62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ht="15.75" customHeight="1">
      <c r="A70" s="6">
        <v>52</v>
      </c>
      <c r="B70" s="7"/>
      <c r="C70" s="7"/>
      <c r="D70" s="7"/>
      <c r="E70" s="41"/>
      <c r="F70" s="7"/>
      <c r="G70" s="7"/>
      <c r="H70" s="7"/>
      <c r="I70" s="7"/>
      <c r="J70" s="65"/>
      <c r="K70" s="62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 ht="15.75" customHeight="1">
      <c r="A71" s="6">
        <v>53</v>
      </c>
      <c r="B71" s="7"/>
      <c r="C71" s="7"/>
      <c r="D71" s="7"/>
      <c r="E71" s="7"/>
      <c r="F71" s="7"/>
      <c r="G71" s="7"/>
      <c r="H71" s="7"/>
      <c r="I71" s="7"/>
      <c r="J71" s="65"/>
      <c r="K71" s="62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 ht="15.75" customHeight="1">
      <c r="A72" s="6">
        <v>54</v>
      </c>
      <c r="B72" s="7"/>
      <c r="C72" s="7"/>
      <c r="D72" s="7"/>
      <c r="E72" s="41"/>
      <c r="F72" s="7"/>
      <c r="G72" s="7"/>
      <c r="H72" s="7"/>
      <c r="I72" s="7"/>
      <c r="J72" s="65"/>
      <c r="K72" s="62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 ht="15.75" customHeight="1">
      <c r="A73" s="6">
        <v>55</v>
      </c>
      <c r="B73" s="7"/>
      <c r="C73" s="7"/>
      <c r="D73" s="7"/>
      <c r="E73" s="41"/>
      <c r="F73" s="7"/>
      <c r="G73" s="7"/>
      <c r="H73" s="7"/>
      <c r="I73" s="7"/>
      <c r="J73" s="65"/>
      <c r="K73" s="62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 ht="15.75" customHeight="1">
      <c r="A74" s="6">
        <v>56</v>
      </c>
      <c r="B74" s="7"/>
      <c r="C74" s="7"/>
      <c r="D74" s="7"/>
      <c r="E74" s="41"/>
      <c r="F74" s="7"/>
      <c r="G74" s="7"/>
      <c r="H74" s="7"/>
      <c r="I74" s="7"/>
      <c r="J74" s="65"/>
      <c r="K74" s="62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 ht="15.75" customHeight="1">
      <c r="A75" s="6">
        <v>57</v>
      </c>
      <c r="B75" s="7"/>
      <c r="C75" s="7"/>
      <c r="D75" s="7"/>
      <c r="E75" s="41"/>
      <c r="F75" s="7"/>
      <c r="G75" s="7"/>
      <c r="H75" s="7"/>
      <c r="I75" s="7"/>
      <c r="J75" s="65"/>
      <c r="K75" s="62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 ht="15.75" customHeight="1">
      <c r="A76" s="6">
        <v>58</v>
      </c>
      <c r="B76" s="7"/>
      <c r="C76" s="7"/>
      <c r="D76" s="7"/>
      <c r="E76" s="7"/>
      <c r="F76" s="7"/>
      <c r="G76" s="7"/>
      <c r="H76" s="7"/>
      <c r="I76" s="7"/>
      <c r="J76" s="65"/>
      <c r="K76" s="62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ht="15.75" customHeight="1">
      <c r="A77" s="6">
        <v>59</v>
      </c>
      <c r="B77" s="7"/>
      <c r="C77" s="7"/>
      <c r="D77" s="7"/>
      <c r="E77" s="7"/>
      <c r="F77" s="7"/>
      <c r="G77" s="7"/>
      <c r="H77" s="7"/>
      <c r="I77" s="7"/>
      <c r="J77" s="65"/>
      <c r="K77" s="62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ht="15.75" customHeight="1">
      <c r="A78" s="6">
        <v>60</v>
      </c>
      <c r="B78" s="7"/>
      <c r="C78" s="7"/>
      <c r="D78" s="7"/>
      <c r="E78" s="41"/>
      <c r="F78" s="7"/>
      <c r="G78" s="7"/>
      <c r="H78" s="7"/>
      <c r="I78" s="7"/>
      <c r="J78" s="65"/>
      <c r="K78" s="62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ht="15.75" customHeight="1">
      <c r="A79" s="6">
        <v>61</v>
      </c>
      <c r="B79" s="7"/>
      <c r="C79" s="7"/>
      <c r="D79" s="7"/>
      <c r="E79" s="41"/>
      <c r="F79" s="7"/>
      <c r="G79" s="7"/>
      <c r="H79" s="7"/>
      <c r="I79" s="7"/>
      <c r="J79" s="7"/>
      <c r="K79" s="62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 ht="15.75" customHeight="1">
      <c r="A80" s="6">
        <v>62</v>
      </c>
      <c r="B80" s="7"/>
      <c r="C80" s="7"/>
      <c r="D80" s="7"/>
      <c r="E80" s="41"/>
      <c r="F80" s="7"/>
      <c r="G80" s="7"/>
      <c r="H80" s="7"/>
      <c r="I80" s="7"/>
      <c r="J80" s="66"/>
      <c r="K80" s="62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 ht="15.75" customHeight="1">
      <c r="A81" s="6">
        <v>63</v>
      </c>
      <c r="B81" s="7"/>
      <c r="C81" s="7"/>
      <c r="D81" s="7"/>
      <c r="E81" s="41"/>
      <c r="F81" s="7"/>
      <c r="G81" s="7"/>
      <c r="H81" s="7"/>
      <c r="I81" s="7"/>
      <c r="J81" s="66"/>
      <c r="K81" s="62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 ht="15.75" customHeight="1">
      <c r="A82" s="6">
        <v>64</v>
      </c>
      <c r="B82" s="7"/>
      <c r="C82" s="7"/>
      <c r="D82" s="7"/>
      <c r="E82" s="41"/>
      <c r="F82" s="7"/>
      <c r="G82" s="7"/>
      <c r="H82" s="7"/>
      <c r="I82" s="7"/>
      <c r="J82" s="7"/>
      <c r="K82" s="62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 ht="15.75" customHeight="1">
      <c r="A83" s="6">
        <v>65</v>
      </c>
      <c r="B83" s="7"/>
      <c r="C83" s="7"/>
      <c r="D83" s="7"/>
      <c r="E83" s="41"/>
      <c r="F83" s="7"/>
      <c r="G83" s="7"/>
      <c r="H83" s="7"/>
      <c r="I83" s="7"/>
      <c r="J83" s="66"/>
      <c r="K83" s="62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 ht="15.75" customHeight="1">
      <c r="A84" s="6">
        <v>66</v>
      </c>
      <c r="B84" s="7"/>
      <c r="C84" s="7"/>
      <c r="D84" s="7"/>
      <c r="E84" s="41"/>
      <c r="F84" s="7"/>
      <c r="G84" s="7"/>
      <c r="H84" s="7"/>
      <c r="I84" s="7"/>
      <c r="J84" s="66"/>
      <c r="K84" s="62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 ht="15.75" customHeight="1">
      <c r="A85" s="6">
        <v>67</v>
      </c>
      <c r="B85" s="7"/>
      <c r="C85" s="7"/>
      <c r="D85" s="7"/>
      <c r="E85" s="41"/>
      <c r="F85" s="7"/>
      <c r="G85" s="7"/>
      <c r="H85" s="7"/>
      <c r="I85" s="7"/>
      <c r="J85" s="7"/>
      <c r="K85" s="62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ht="15.75" customHeight="1">
      <c r="A86" s="6">
        <v>68</v>
      </c>
      <c r="B86" s="7"/>
      <c r="C86" s="7"/>
      <c r="D86" s="7"/>
      <c r="E86" s="41"/>
      <c r="F86" s="7"/>
      <c r="G86" s="7"/>
      <c r="H86" s="7"/>
      <c r="I86" s="7"/>
      <c r="J86" s="7"/>
      <c r="K86" s="62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ht="15.75" customHeight="1">
      <c r="A87" s="6">
        <v>69</v>
      </c>
      <c r="B87" s="7"/>
      <c r="C87" s="7"/>
      <c r="D87" s="7"/>
      <c r="E87" s="41"/>
      <c r="F87" s="7"/>
      <c r="G87" s="7"/>
      <c r="H87" s="7"/>
      <c r="I87" s="7"/>
      <c r="J87" s="66"/>
      <c r="K87" s="62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ht="15.75" customHeight="1">
      <c r="A88" s="6">
        <v>70</v>
      </c>
      <c r="B88" s="7"/>
      <c r="C88" s="7"/>
      <c r="D88" s="7"/>
      <c r="E88" s="41"/>
      <c r="F88" s="7"/>
      <c r="G88" s="7"/>
      <c r="H88" s="7"/>
      <c r="I88" s="7"/>
      <c r="J88" s="7"/>
      <c r="K88" s="62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 ht="15.75" customHeight="1">
      <c r="A89" s="6">
        <v>71</v>
      </c>
      <c r="B89" s="7"/>
      <c r="C89" s="7"/>
      <c r="D89" s="7"/>
      <c r="E89" s="41"/>
      <c r="F89" s="7"/>
      <c r="G89" s="7"/>
      <c r="H89" s="7"/>
      <c r="I89" s="7"/>
      <c r="J89" s="66"/>
      <c r="K89" s="62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 ht="15.75" customHeight="1">
      <c r="A90" s="6">
        <v>72</v>
      </c>
      <c r="B90" s="7"/>
      <c r="C90" s="7"/>
      <c r="D90" s="7"/>
      <c r="E90" s="41"/>
      <c r="F90" s="7"/>
      <c r="G90" s="7"/>
      <c r="H90" s="7"/>
      <c r="I90" s="7"/>
      <c r="J90" s="66"/>
      <c r="K90" s="62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 ht="15.75" customHeight="1">
      <c r="A91" s="6">
        <v>73</v>
      </c>
      <c r="B91" s="7"/>
      <c r="C91" s="7"/>
      <c r="D91" s="7"/>
      <c r="E91" s="41"/>
      <c r="F91" s="7"/>
      <c r="G91" s="7"/>
      <c r="H91" s="7"/>
      <c r="I91" s="7"/>
      <c r="J91" s="67"/>
      <c r="K91" s="62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 ht="15.75" customHeight="1">
      <c r="A92" s="6">
        <v>74</v>
      </c>
      <c r="B92" s="7"/>
      <c r="C92" s="7"/>
      <c r="D92" s="7"/>
      <c r="E92" s="41"/>
      <c r="F92" s="7"/>
      <c r="G92" s="7"/>
      <c r="H92" s="7"/>
      <c r="I92" s="7"/>
      <c r="J92" s="66"/>
      <c r="K92" s="62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 ht="15.75" customHeight="1">
      <c r="A93" s="6">
        <v>75</v>
      </c>
      <c r="B93" s="7"/>
      <c r="C93" s="7"/>
      <c r="D93" s="7"/>
      <c r="E93" s="41"/>
      <c r="F93" s="7"/>
      <c r="G93" s="7"/>
      <c r="H93" s="7"/>
      <c r="I93" s="7"/>
      <c r="J93" s="66"/>
      <c r="K93" s="62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 ht="15.75" customHeight="1">
      <c r="A94" s="6">
        <v>76</v>
      </c>
      <c r="B94" s="7"/>
      <c r="C94" s="7"/>
      <c r="D94" s="7"/>
      <c r="E94" s="56"/>
      <c r="F94" s="7"/>
      <c r="G94" s="7"/>
      <c r="H94" s="7"/>
      <c r="I94" s="7"/>
      <c r="J94" s="67"/>
      <c r="K94" s="62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ht="15.75" customHeight="1">
      <c r="A95" s="6">
        <v>77</v>
      </c>
      <c r="B95" s="7"/>
      <c r="C95" s="7"/>
      <c r="D95" s="7"/>
      <c r="E95" s="56"/>
      <c r="F95" s="7"/>
      <c r="G95" s="7"/>
      <c r="H95" s="7"/>
      <c r="I95" s="7"/>
      <c r="J95" s="66"/>
      <c r="K95" s="62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ht="15.75" customHeight="1">
      <c r="A96" s="6">
        <v>78</v>
      </c>
      <c r="B96" s="7"/>
      <c r="C96" s="7"/>
      <c r="D96" s="7"/>
      <c r="E96" s="41"/>
      <c r="F96" s="50"/>
      <c r="G96" s="50"/>
      <c r="H96" s="7"/>
      <c r="I96" s="7"/>
      <c r="J96" s="7"/>
      <c r="K96" s="62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ht="15.75" customHeight="1">
      <c r="A97" s="6">
        <v>79</v>
      </c>
      <c r="B97" s="7"/>
      <c r="C97" s="7"/>
      <c r="D97" s="7"/>
      <c r="E97" s="41"/>
      <c r="F97" s="50"/>
      <c r="G97" s="50"/>
      <c r="H97" s="50"/>
      <c r="I97" s="7"/>
      <c r="J97" s="7"/>
      <c r="K97" s="62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 ht="15.75" customHeight="1">
      <c r="A98" s="6">
        <v>80</v>
      </c>
      <c r="B98" s="7"/>
      <c r="C98" s="7"/>
      <c r="D98" s="7"/>
      <c r="E98" s="41"/>
      <c r="F98" s="50"/>
      <c r="G98" s="50"/>
      <c r="H98" s="50"/>
      <c r="I98" s="7"/>
      <c r="J98" s="7"/>
      <c r="K98" s="62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 ht="15.75" customHeight="1">
      <c r="A99" s="6">
        <v>81</v>
      </c>
      <c r="B99" s="7"/>
      <c r="C99" s="7"/>
      <c r="D99" s="7"/>
      <c r="E99" s="41"/>
      <c r="F99" s="50"/>
      <c r="G99" s="50"/>
      <c r="H99" s="50"/>
      <c r="I99" s="7"/>
      <c r="J99" s="7"/>
      <c r="K99" s="62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 ht="15.75" customHeight="1">
      <c r="A100" s="6">
        <v>82</v>
      </c>
      <c r="B100" s="7"/>
      <c r="C100" s="7"/>
      <c r="D100" s="7"/>
      <c r="E100" s="41"/>
      <c r="F100" s="50"/>
      <c r="G100" s="50"/>
      <c r="H100" s="50"/>
      <c r="I100" s="7"/>
      <c r="J100" s="7"/>
      <c r="K100" s="62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 ht="15.75" customHeight="1">
      <c r="A101" s="6">
        <v>83</v>
      </c>
      <c r="B101" s="7"/>
      <c r="C101" s="7"/>
      <c r="D101" s="7"/>
      <c r="E101" s="41"/>
      <c r="F101" s="50"/>
      <c r="G101" s="50"/>
      <c r="H101" s="50"/>
      <c r="I101" s="7"/>
      <c r="J101" s="7"/>
      <c r="K101" s="62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 ht="15.75" customHeight="1">
      <c r="A102" s="6">
        <v>84</v>
      </c>
      <c r="B102" s="7"/>
      <c r="C102" s="7"/>
      <c r="D102" s="7"/>
      <c r="E102" s="41"/>
      <c r="F102" s="50"/>
      <c r="G102" s="50"/>
      <c r="H102" s="50"/>
      <c r="I102" s="7"/>
      <c r="J102" s="7"/>
      <c r="K102" s="62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 ht="15.75" customHeight="1">
      <c r="A103" s="6">
        <v>85</v>
      </c>
      <c r="B103" s="7"/>
      <c r="C103" s="7"/>
      <c r="D103" s="7"/>
      <c r="E103" s="41"/>
      <c r="F103" s="50"/>
      <c r="G103" s="50"/>
      <c r="H103" s="50"/>
      <c r="I103" s="7"/>
      <c r="J103" s="7"/>
      <c r="K103" s="62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ht="15.75" customHeight="1">
      <c r="A104" s="6">
        <v>86</v>
      </c>
      <c r="B104" s="7"/>
      <c r="C104" s="50"/>
      <c r="D104" s="7"/>
      <c r="E104" s="41"/>
      <c r="F104" s="50"/>
      <c r="G104" s="50"/>
      <c r="H104" s="50"/>
      <c r="I104" s="7"/>
      <c r="J104" s="7"/>
      <c r="K104" s="62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ht="15.75" customHeight="1">
      <c r="A105" s="6">
        <v>87</v>
      </c>
      <c r="B105" s="7"/>
      <c r="C105" s="50"/>
      <c r="D105" s="7"/>
      <c r="E105" s="41"/>
      <c r="F105" s="50"/>
      <c r="G105" s="50"/>
      <c r="H105" s="50"/>
      <c r="I105" s="7"/>
      <c r="J105" s="7"/>
      <c r="K105" s="62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ht="15.75" customHeight="1">
      <c r="A106" s="6">
        <v>88</v>
      </c>
      <c r="B106" s="7"/>
      <c r="C106" s="7"/>
      <c r="D106" s="7"/>
      <c r="E106" s="41"/>
      <c r="F106" s="50"/>
      <c r="G106" s="50"/>
      <c r="H106" s="50"/>
      <c r="I106" s="7"/>
      <c r="J106" s="7"/>
      <c r="K106" s="62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 ht="15.75" customHeight="1">
      <c r="A107" s="6">
        <v>89</v>
      </c>
      <c r="B107" s="7"/>
      <c r="C107" s="50"/>
      <c r="D107" s="7"/>
      <c r="E107" s="41"/>
      <c r="F107" s="50"/>
      <c r="G107" s="50"/>
      <c r="H107" s="50"/>
      <c r="I107" s="7"/>
      <c r="J107" s="7"/>
      <c r="K107" s="62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 ht="15.75" customHeight="1">
      <c r="A108" s="6">
        <v>90</v>
      </c>
      <c r="B108" s="7"/>
      <c r="C108" s="50"/>
      <c r="D108" s="7"/>
      <c r="E108" s="41"/>
      <c r="F108" s="50"/>
      <c r="G108" s="50"/>
      <c r="H108" s="50"/>
      <c r="I108" s="7"/>
      <c r="J108" s="7"/>
      <c r="K108" s="62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 ht="15.75" customHeight="1">
      <c r="A109" s="6">
        <v>91</v>
      </c>
      <c r="B109" s="7"/>
      <c r="C109" s="50"/>
      <c r="D109" s="7"/>
      <c r="E109" s="41"/>
      <c r="F109" s="50"/>
      <c r="G109" s="50"/>
      <c r="H109" s="50"/>
      <c r="I109" s="7"/>
      <c r="J109" s="7"/>
      <c r="K109" s="62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 ht="15.75" customHeight="1">
      <c r="A110" s="6">
        <v>92</v>
      </c>
      <c r="B110" s="7"/>
      <c r="C110" s="7"/>
      <c r="D110" s="7"/>
      <c r="E110" s="41"/>
      <c r="F110" s="50"/>
      <c r="G110" s="50"/>
      <c r="H110" s="50"/>
      <c r="I110" s="7"/>
      <c r="J110" s="7"/>
      <c r="K110" s="62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 ht="15.75" customHeight="1">
      <c r="A111" s="6">
        <v>93</v>
      </c>
      <c r="B111" s="7"/>
      <c r="C111" s="50"/>
      <c r="D111" s="7"/>
      <c r="E111" s="41"/>
      <c r="F111" s="50"/>
      <c r="G111" s="50"/>
      <c r="H111" s="50"/>
      <c r="I111" s="7"/>
      <c r="J111" s="7"/>
      <c r="K111" s="62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 ht="15.75" customHeight="1">
      <c r="A112" s="6">
        <v>94</v>
      </c>
      <c r="B112" s="7"/>
      <c r="C112" s="7"/>
      <c r="D112" s="7"/>
      <c r="E112" s="41"/>
      <c r="F112" s="50"/>
      <c r="G112" s="50"/>
      <c r="H112" s="50"/>
      <c r="I112" s="7"/>
      <c r="J112" s="7"/>
      <c r="K112" s="62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ht="15.75" customHeight="1">
      <c r="A113" s="6">
        <v>95</v>
      </c>
      <c r="B113" s="50"/>
      <c r="C113" s="50"/>
      <c r="D113" s="50"/>
      <c r="E113" s="41"/>
      <c r="F113" s="50"/>
      <c r="G113" s="50"/>
      <c r="H113" s="50"/>
      <c r="I113" s="50"/>
      <c r="J113" s="7"/>
      <c r="K113" s="62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ht="15.75" customHeight="1">
      <c r="A114" s="6">
        <v>96</v>
      </c>
      <c r="B114" s="50"/>
      <c r="C114" s="50"/>
      <c r="D114" s="50"/>
      <c r="E114" s="50"/>
      <c r="F114" s="50"/>
      <c r="G114" s="50"/>
      <c r="H114" s="50"/>
      <c r="I114" s="50"/>
      <c r="J114" s="7"/>
      <c r="K114" s="62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ht="15.75" customHeight="1">
      <c r="A115" s="6">
        <v>97</v>
      </c>
      <c r="B115" s="50"/>
      <c r="C115" s="50"/>
      <c r="D115" s="50"/>
      <c r="E115" s="41"/>
      <c r="F115" s="50"/>
      <c r="G115" s="50"/>
      <c r="H115" s="50"/>
      <c r="I115" s="7"/>
      <c r="J115" s="7"/>
      <c r="K115" s="62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 ht="15.75" customHeight="1">
      <c r="A116" s="6">
        <v>98</v>
      </c>
      <c r="B116" s="7"/>
      <c r="C116" s="50"/>
      <c r="D116" s="50"/>
      <c r="E116" s="41"/>
      <c r="F116" s="50"/>
      <c r="G116" s="50"/>
      <c r="H116" s="50"/>
      <c r="I116" s="7"/>
      <c r="J116" s="7"/>
      <c r="K116" s="62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 ht="15.75" customHeight="1">
      <c r="A117" s="6">
        <v>99</v>
      </c>
      <c r="B117" s="7"/>
      <c r="C117" s="7"/>
      <c r="D117" s="7"/>
      <c r="E117" s="41"/>
      <c r="F117" s="7"/>
      <c r="G117" s="7"/>
      <c r="H117" s="7"/>
      <c r="I117" s="7"/>
      <c r="J117" s="7"/>
      <c r="K117" s="62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 ht="15.75" customHeight="1">
      <c r="A118" s="6">
        <v>100</v>
      </c>
      <c r="B118" s="7"/>
      <c r="C118" s="7"/>
      <c r="D118" s="7"/>
      <c r="E118" s="7"/>
      <c r="F118" s="7"/>
      <c r="G118" s="7"/>
      <c r="H118" s="7"/>
      <c r="I118" s="7"/>
      <c r="J118" s="7"/>
      <c r="K118" s="62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 ht="15.75" customHeight="1">
      <c r="A119" s="6">
        <v>101</v>
      </c>
      <c r="B119" s="7"/>
      <c r="C119" s="7"/>
      <c r="D119" s="7"/>
      <c r="E119" s="41"/>
      <c r="F119" s="7"/>
      <c r="G119" s="7"/>
      <c r="H119" s="7"/>
      <c r="I119" s="7"/>
      <c r="J119" s="7"/>
      <c r="K119" s="62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 ht="15.75" customHeight="1">
      <c r="A120" s="6">
        <v>102</v>
      </c>
      <c r="B120" s="7"/>
      <c r="C120" s="7"/>
      <c r="D120" s="7"/>
      <c r="E120" s="41"/>
      <c r="F120" s="7"/>
      <c r="G120" s="7"/>
      <c r="H120" s="7"/>
      <c r="I120" s="7"/>
      <c r="J120" s="7"/>
      <c r="K120" s="62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 ht="15.75" customHeight="1">
      <c r="A121" s="6">
        <v>103</v>
      </c>
      <c r="B121" s="7"/>
      <c r="C121" s="7"/>
      <c r="D121" s="7"/>
      <c r="E121" s="41"/>
      <c r="F121" s="7"/>
      <c r="G121" s="7"/>
      <c r="H121" s="7"/>
      <c r="I121" s="7"/>
      <c r="J121" s="7"/>
      <c r="K121" s="62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ht="15.75" customHeight="1">
      <c r="A122" s="6">
        <v>104</v>
      </c>
      <c r="B122" s="7"/>
      <c r="C122" s="7"/>
      <c r="D122" s="7"/>
      <c r="E122" s="41"/>
      <c r="F122" s="7"/>
      <c r="G122" s="7"/>
      <c r="H122" s="7"/>
      <c r="I122" s="7"/>
      <c r="J122" s="7"/>
      <c r="K122" s="62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ht="15.75" customHeight="1">
      <c r="A123" s="6">
        <v>105</v>
      </c>
      <c r="B123" s="7"/>
      <c r="C123" s="7"/>
      <c r="D123" s="7"/>
      <c r="E123" s="41"/>
      <c r="F123" s="7"/>
      <c r="G123" s="7"/>
      <c r="H123" s="7"/>
      <c r="I123" s="7"/>
      <c r="J123" s="7"/>
      <c r="K123" s="62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ht="15.75" customHeight="1">
      <c r="A124" s="6">
        <v>106</v>
      </c>
      <c r="B124" s="7"/>
      <c r="C124" s="7"/>
      <c r="D124" s="7"/>
      <c r="E124" s="41"/>
      <c r="F124" s="7"/>
      <c r="G124" s="7"/>
      <c r="H124" s="7"/>
      <c r="I124" s="7"/>
      <c r="J124" s="7"/>
      <c r="K124" s="62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 ht="15.75" customHeight="1">
      <c r="A125" s="6">
        <v>107</v>
      </c>
      <c r="B125" s="7"/>
      <c r="C125" s="7"/>
      <c r="D125" s="7"/>
      <c r="E125" s="41"/>
      <c r="F125" s="7"/>
      <c r="G125" s="7"/>
      <c r="H125" s="7"/>
      <c r="I125" s="7"/>
      <c r="J125" s="7"/>
      <c r="K125" s="62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 ht="15.75" customHeight="1">
      <c r="A126" s="6">
        <v>108</v>
      </c>
      <c r="B126" s="7"/>
      <c r="C126" s="7"/>
      <c r="D126" s="7"/>
      <c r="E126" s="41"/>
      <c r="F126" s="7"/>
      <c r="G126" s="7"/>
      <c r="H126" s="7"/>
      <c r="I126" s="7"/>
      <c r="J126" s="7"/>
      <c r="K126" s="62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 ht="15.75" customHeight="1">
      <c r="A127" s="6">
        <v>109</v>
      </c>
      <c r="B127" s="7"/>
      <c r="C127" s="7"/>
      <c r="D127" s="7"/>
      <c r="E127" s="41"/>
      <c r="F127" s="7"/>
      <c r="G127" s="7"/>
      <c r="H127" s="7"/>
      <c r="I127" s="7"/>
      <c r="J127" s="7"/>
      <c r="K127" s="62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 ht="15.75" customHeight="1">
      <c r="A128" s="6">
        <v>110</v>
      </c>
      <c r="B128" s="7"/>
      <c r="C128" s="7"/>
      <c r="D128" s="7"/>
      <c r="E128" s="41"/>
      <c r="F128" s="7"/>
      <c r="G128" s="7"/>
      <c r="H128" s="7"/>
      <c r="I128" s="7"/>
      <c r="J128" s="7"/>
      <c r="K128" s="62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 ht="15.75" customHeight="1">
      <c r="A129" s="6">
        <v>111</v>
      </c>
      <c r="B129" s="7"/>
      <c r="C129" s="7"/>
      <c r="D129" s="7"/>
      <c r="E129" s="41"/>
      <c r="F129" s="7"/>
      <c r="G129" s="7"/>
      <c r="H129" s="7"/>
      <c r="I129" s="7"/>
      <c r="J129" s="7"/>
      <c r="K129" s="62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 ht="15.75" customHeight="1">
      <c r="A130" s="6">
        <v>112</v>
      </c>
      <c r="B130" s="7"/>
      <c r="C130" s="7"/>
      <c r="D130" s="7"/>
      <c r="E130" s="41"/>
      <c r="F130" s="7"/>
      <c r="G130" s="7"/>
      <c r="H130" s="7"/>
      <c r="I130" s="7"/>
      <c r="J130" s="7"/>
      <c r="K130" s="62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 ht="15.75" customHeight="1">
      <c r="A131" s="6">
        <v>113</v>
      </c>
      <c r="B131" s="7"/>
      <c r="C131" s="7"/>
      <c r="D131" s="7"/>
      <c r="E131" s="41"/>
      <c r="F131" s="7"/>
      <c r="G131" s="7"/>
      <c r="H131" s="7"/>
      <c r="I131" s="7"/>
      <c r="J131" s="7"/>
      <c r="K131" s="62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 ht="15.75" customHeight="1">
      <c r="A132" s="6">
        <v>114</v>
      </c>
      <c r="B132" s="7"/>
      <c r="C132" s="7"/>
      <c r="D132" s="7"/>
      <c r="E132" s="41"/>
      <c r="F132" s="7"/>
      <c r="G132" s="7"/>
      <c r="H132" s="7"/>
      <c r="I132" s="7"/>
      <c r="J132" s="7"/>
      <c r="K132" s="62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 ht="15.75" customHeight="1">
      <c r="A133" s="6">
        <v>115</v>
      </c>
      <c r="B133" s="7"/>
      <c r="C133" s="7"/>
      <c r="D133" s="7"/>
      <c r="E133" s="41"/>
      <c r="F133" s="7"/>
      <c r="G133" s="7"/>
      <c r="H133" s="7"/>
      <c r="I133" s="7"/>
      <c r="J133" s="7"/>
      <c r="K133" s="62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 ht="15.75" customHeight="1">
      <c r="A134" s="6">
        <v>116</v>
      </c>
      <c r="B134" s="7"/>
      <c r="C134" s="7"/>
      <c r="D134" s="7"/>
      <c r="E134" s="41"/>
      <c r="F134" s="7"/>
      <c r="G134" s="7"/>
      <c r="H134" s="7"/>
      <c r="I134" s="7"/>
      <c r="J134" s="7"/>
      <c r="K134" s="62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 ht="15.75" customHeight="1">
      <c r="A135" s="6">
        <v>117</v>
      </c>
      <c r="B135" s="7"/>
      <c r="C135" s="7"/>
      <c r="D135" s="7"/>
      <c r="E135" s="41"/>
      <c r="F135" s="7"/>
      <c r="G135" s="7"/>
      <c r="H135" s="7"/>
      <c r="I135" s="7"/>
      <c r="J135" s="7"/>
      <c r="K135" s="62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 ht="15.75" customHeight="1">
      <c r="A136" s="6">
        <v>118</v>
      </c>
      <c r="B136" s="7"/>
      <c r="C136" s="7"/>
      <c r="D136" s="7"/>
      <c r="E136" s="41"/>
      <c r="F136" s="7"/>
      <c r="G136" s="7"/>
      <c r="H136" s="7"/>
      <c r="I136" s="7"/>
      <c r="J136" s="7"/>
      <c r="K136" s="62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 ht="15.75" customHeight="1">
      <c r="A137" s="6">
        <v>119</v>
      </c>
      <c r="B137" s="7"/>
      <c r="C137" s="7"/>
      <c r="D137" s="7"/>
      <c r="E137" s="41"/>
      <c r="F137" s="7"/>
      <c r="G137" s="7"/>
      <c r="H137" s="7"/>
      <c r="I137" s="7"/>
      <c r="J137" s="7"/>
      <c r="K137" s="62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 ht="15.75" customHeight="1">
      <c r="A138" s="6">
        <v>120</v>
      </c>
      <c r="B138" s="7"/>
      <c r="C138" s="7"/>
      <c r="D138" s="7"/>
      <c r="E138" s="41"/>
      <c r="F138" s="7"/>
      <c r="G138" s="7"/>
      <c r="H138" s="7"/>
      <c r="I138" s="7"/>
      <c r="J138" s="7"/>
      <c r="K138" s="62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 ht="15.75" customHeight="1">
      <c r="A139" s="6">
        <v>121</v>
      </c>
      <c r="B139" s="7"/>
      <c r="C139" s="7"/>
      <c r="D139" s="7"/>
      <c r="E139" s="7"/>
      <c r="F139" s="7"/>
      <c r="G139" s="7"/>
      <c r="H139" s="7"/>
      <c r="I139" s="7"/>
      <c r="J139" s="7"/>
      <c r="K139" s="62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 ht="15.75" customHeight="1">
      <c r="A140" s="6">
        <v>122</v>
      </c>
      <c r="B140" s="7"/>
      <c r="C140" s="7"/>
      <c r="D140" s="7"/>
      <c r="E140" s="41"/>
      <c r="F140" s="7"/>
      <c r="G140" s="7"/>
      <c r="H140" s="7"/>
      <c r="I140" s="7"/>
      <c r="J140" s="7"/>
      <c r="K140" s="62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 ht="15.75" customHeight="1">
      <c r="A141" s="6">
        <v>123</v>
      </c>
      <c r="B141" s="7"/>
      <c r="C141" s="7"/>
      <c r="D141" s="7"/>
      <c r="E141" s="41"/>
      <c r="F141" s="7"/>
      <c r="G141" s="7"/>
      <c r="H141" s="7"/>
      <c r="I141" s="7"/>
      <c r="J141" s="7"/>
      <c r="K141" s="62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 ht="15.75" customHeight="1">
      <c r="A142" s="6">
        <v>124</v>
      </c>
      <c r="B142" s="7"/>
      <c r="C142" s="7"/>
      <c r="D142" s="7"/>
      <c r="E142" s="7"/>
      <c r="F142" s="7"/>
      <c r="G142" s="7"/>
      <c r="H142" s="7"/>
      <c r="I142" s="7"/>
      <c r="J142" s="7"/>
      <c r="K142" s="62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 ht="15.75" customHeight="1">
      <c r="A143" s="6">
        <v>125</v>
      </c>
      <c r="B143" s="7"/>
      <c r="C143" s="7"/>
      <c r="D143" s="7"/>
      <c r="E143" s="7"/>
      <c r="F143" s="7"/>
      <c r="G143" s="7"/>
      <c r="H143" s="7"/>
      <c r="I143" s="7"/>
      <c r="J143" s="7"/>
      <c r="K143" s="62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 ht="15.75" customHeight="1">
      <c r="A144" s="6">
        <v>126</v>
      </c>
      <c r="B144" s="7"/>
      <c r="C144" s="7"/>
      <c r="D144" s="7"/>
      <c r="E144" s="7"/>
      <c r="F144" s="7"/>
      <c r="G144" s="7"/>
      <c r="H144" s="7"/>
      <c r="I144" s="7"/>
      <c r="J144" s="7"/>
      <c r="K144" s="62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 ht="15.75" customHeight="1">
      <c r="A145" s="6">
        <v>127</v>
      </c>
      <c r="B145" s="7"/>
      <c r="C145" s="7"/>
      <c r="D145" s="7"/>
      <c r="E145" s="7"/>
      <c r="F145" s="7"/>
      <c r="G145" s="7"/>
      <c r="H145" s="7"/>
      <c r="I145" s="7"/>
      <c r="J145" s="7"/>
      <c r="K145" s="62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 ht="15.75" customHeight="1">
      <c r="A146" s="6">
        <v>128</v>
      </c>
      <c r="B146" s="7"/>
      <c r="C146" s="7"/>
      <c r="D146" s="7"/>
      <c r="E146" s="7"/>
      <c r="F146" s="7"/>
      <c r="G146" s="7"/>
      <c r="H146" s="7"/>
      <c r="I146" s="7"/>
      <c r="J146" s="7"/>
      <c r="K146" s="62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 ht="15.75" customHeight="1">
      <c r="A147" s="6">
        <v>129</v>
      </c>
      <c r="B147" s="7"/>
      <c r="C147" s="7"/>
      <c r="D147" s="7"/>
      <c r="E147" s="7"/>
      <c r="F147" s="7"/>
      <c r="G147" s="7"/>
      <c r="H147" s="7"/>
      <c r="I147" s="7"/>
      <c r="J147" s="7"/>
      <c r="K147" s="62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 ht="15.75" customHeight="1">
      <c r="A148" s="6">
        <v>130</v>
      </c>
      <c r="B148" s="7"/>
      <c r="C148" s="7"/>
      <c r="D148" s="7"/>
      <c r="E148" s="7"/>
      <c r="F148" s="7"/>
      <c r="G148" s="7"/>
      <c r="H148" s="7"/>
      <c r="I148" s="7"/>
      <c r="J148" s="7"/>
      <c r="K148" s="62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 ht="15.75" customHeight="1">
      <c r="A149" s="6">
        <v>131</v>
      </c>
      <c r="B149" s="7"/>
      <c r="C149" s="7"/>
      <c r="D149" s="7"/>
      <c r="E149" s="7"/>
      <c r="F149" s="7"/>
      <c r="G149" s="7"/>
      <c r="H149" s="7"/>
      <c r="I149" s="7"/>
      <c r="J149" s="7"/>
      <c r="K149" s="62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 ht="15.75" customHeight="1">
      <c r="A150" s="6">
        <v>132</v>
      </c>
      <c r="B150" s="7"/>
      <c r="C150" s="7"/>
      <c r="D150" s="7"/>
      <c r="E150" s="7"/>
      <c r="F150" s="7"/>
      <c r="G150" s="7"/>
      <c r="H150" s="7"/>
      <c r="I150" s="7"/>
      <c r="J150" s="7"/>
      <c r="K150" s="62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 ht="15.75" customHeight="1">
      <c r="A151" s="6">
        <v>133</v>
      </c>
      <c r="B151" s="7"/>
      <c r="C151" s="7"/>
      <c r="D151" s="7"/>
      <c r="E151" s="7"/>
      <c r="F151" s="7"/>
      <c r="G151" s="7"/>
      <c r="H151" s="7"/>
      <c r="I151" s="7"/>
      <c r="J151" s="7"/>
      <c r="K151" s="62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 ht="15.75" customHeight="1">
      <c r="A152" s="6">
        <v>134</v>
      </c>
      <c r="B152" s="7"/>
      <c r="C152" s="7"/>
      <c r="D152" s="7"/>
      <c r="E152" s="7"/>
      <c r="F152" s="7"/>
      <c r="G152" s="7"/>
      <c r="H152" s="7"/>
      <c r="I152" s="7"/>
      <c r="J152" s="7"/>
      <c r="K152" s="62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 ht="15.75" customHeight="1">
      <c r="A153" s="6">
        <v>135</v>
      </c>
      <c r="B153" s="7"/>
      <c r="C153" s="7"/>
      <c r="D153" s="7"/>
      <c r="E153" s="7"/>
      <c r="F153" s="7"/>
      <c r="G153" s="7"/>
      <c r="H153" s="7"/>
      <c r="I153" s="7"/>
      <c r="J153" s="7"/>
      <c r="K153" s="62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 ht="15.75" customHeight="1">
      <c r="A154" s="6">
        <v>136</v>
      </c>
      <c r="B154" s="7"/>
      <c r="C154" s="7"/>
      <c r="D154" s="7"/>
      <c r="E154" s="7"/>
      <c r="F154" s="7"/>
      <c r="G154" s="7"/>
      <c r="H154" s="7"/>
      <c r="I154" s="7"/>
      <c r="J154" s="7"/>
      <c r="K154" s="62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 ht="15.75" customHeight="1">
      <c r="A155" s="6">
        <v>137</v>
      </c>
      <c r="B155" s="7"/>
      <c r="C155" s="7"/>
      <c r="D155" s="7"/>
      <c r="E155" s="7"/>
      <c r="F155" s="7"/>
      <c r="G155" s="7"/>
      <c r="H155" s="7"/>
      <c r="I155" s="7"/>
      <c r="J155" s="7"/>
      <c r="K155" s="62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 ht="15.75" customHeight="1">
      <c r="A156" s="6">
        <v>138</v>
      </c>
      <c r="B156" s="7"/>
      <c r="C156" s="7"/>
      <c r="D156" s="7"/>
      <c r="E156" s="7"/>
      <c r="F156" s="7"/>
      <c r="G156" s="7"/>
      <c r="H156" s="7"/>
      <c r="I156" s="7"/>
      <c r="J156" s="7"/>
      <c r="K156" s="62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 ht="15.75" customHeight="1">
      <c r="A157" s="6">
        <v>139</v>
      </c>
      <c r="B157" s="7"/>
      <c r="C157" s="7"/>
      <c r="D157" s="7"/>
      <c r="E157" s="7"/>
      <c r="F157" s="7"/>
      <c r="G157" s="7"/>
      <c r="H157" s="7"/>
      <c r="I157" s="7"/>
      <c r="J157" s="7"/>
      <c r="K157" s="62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 ht="15.75" customHeight="1">
      <c r="A158" s="6">
        <v>140</v>
      </c>
      <c r="B158" s="7"/>
      <c r="C158" s="7"/>
      <c r="D158" s="7"/>
      <c r="E158" s="7"/>
      <c r="F158" s="7"/>
      <c r="G158" s="7"/>
      <c r="H158" s="7"/>
      <c r="I158" s="7"/>
      <c r="J158" s="7"/>
      <c r="K158" s="62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 ht="15.75" customHeight="1">
      <c r="A159" s="6">
        <v>141</v>
      </c>
      <c r="B159" s="7"/>
      <c r="C159" s="7"/>
      <c r="D159" s="7"/>
      <c r="E159" s="7"/>
      <c r="F159" s="7"/>
      <c r="G159" s="7"/>
      <c r="H159" s="7"/>
      <c r="I159" s="7"/>
      <c r="J159" s="7"/>
      <c r="K159" s="62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 ht="15.75" customHeight="1">
      <c r="A160" s="6">
        <v>142</v>
      </c>
      <c r="B160" s="7"/>
      <c r="C160" s="7"/>
      <c r="D160" s="7"/>
      <c r="E160" s="7"/>
      <c r="F160" s="7"/>
      <c r="G160" s="7"/>
      <c r="H160" s="7"/>
      <c r="I160" s="7"/>
      <c r="J160" s="7"/>
      <c r="K160" s="62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 ht="15.75" customHeight="1">
      <c r="A161" s="6">
        <v>143</v>
      </c>
      <c r="B161" s="7"/>
      <c r="C161" s="7"/>
      <c r="D161" s="7"/>
      <c r="E161" s="7"/>
      <c r="F161" s="7"/>
      <c r="G161" s="7"/>
      <c r="H161" s="7"/>
      <c r="I161" s="7"/>
      <c r="J161" s="7"/>
      <c r="K161" s="62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 ht="15.75" customHeight="1">
      <c r="A162" s="6">
        <v>144</v>
      </c>
      <c r="B162" s="7"/>
      <c r="C162" s="7"/>
      <c r="D162" s="7"/>
      <c r="E162" s="7"/>
      <c r="F162" s="7"/>
      <c r="G162" s="7"/>
      <c r="H162" s="7"/>
      <c r="I162" s="7"/>
      <c r="J162" s="7"/>
      <c r="K162" s="62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1:25" ht="15.75" customHeight="1">
      <c r="A163" s="6">
        <v>145</v>
      </c>
      <c r="B163" s="7"/>
      <c r="C163" s="7"/>
      <c r="D163" s="7"/>
      <c r="E163" s="7"/>
      <c r="F163" s="7"/>
      <c r="G163" s="7"/>
      <c r="H163" s="7"/>
      <c r="I163" s="7"/>
      <c r="J163" s="7"/>
      <c r="K163" s="62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 ht="15.75" customHeight="1">
      <c r="A164" s="6">
        <v>146</v>
      </c>
      <c r="B164" s="7"/>
      <c r="C164" s="7"/>
      <c r="D164" s="7"/>
      <c r="E164" s="7"/>
      <c r="F164" s="7"/>
      <c r="G164" s="7"/>
      <c r="H164" s="7"/>
      <c r="I164" s="7"/>
      <c r="J164" s="7"/>
      <c r="K164" s="62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 ht="15.75" customHeight="1">
      <c r="A165" s="6">
        <v>147</v>
      </c>
      <c r="B165" s="7"/>
      <c r="C165" s="7"/>
      <c r="D165" s="7"/>
      <c r="E165" s="7"/>
      <c r="F165" s="7"/>
      <c r="G165" s="7"/>
      <c r="H165" s="7"/>
      <c r="I165" s="7"/>
      <c r="J165" s="7"/>
      <c r="K165" s="62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 ht="15.75" customHeight="1">
      <c r="A166" s="6">
        <v>148</v>
      </c>
      <c r="B166" s="7"/>
      <c r="C166" s="7"/>
      <c r="D166" s="7"/>
      <c r="E166" s="7"/>
      <c r="F166" s="7"/>
      <c r="G166" s="7"/>
      <c r="H166" s="7"/>
      <c r="I166" s="7"/>
      <c r="J166" s="7"/>
      <c r="K166" s="62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 ht="15.75" customHeight="1">
      <c r="A167" s="6">
        <v>149</v>
      </c>
      <c r="B167" s="7"/>
      <c r="C167" s="7"/>
      <c r="D167" s="7"/>
      <c r="E167" s="7"/>
      <c r="F167" s="7"/>
      <c r="G167" s="7"/>
      <c r="H167" s="7"/>
      <c r="I167" s="7"/>
      <c r="J167" s="7"/>
      <c r="K167" s="62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 ht="15.75" customHeight="1">
      <c r="A168" s="6">
        <v>150</v>
      </c>
      <c r="B168" s="7"/>
      <c r="C168" s="7"/>
      <c r="D168" s="7"/>
      <c r="E168" s="7"/>
      <c r="F168" s="7"/>
      <c r="G168" s="7"/>
      <c r="H168" s="7"/>
      <c r="I168" s="7"/>
      <c r="J168" s="7"/>
      <c r="K168" s="62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 ht="15.75" customHeight="1">
      <c r="A169" s="6"/>
      <c r="B169" s="7"/>
      <c r="C169" s="7"/>
      <c r="D169" s="7"/>
      <c r="E169" s="7"/>
      <c r="F169" s="7"/>
      <c r="G169" s="7"/>
      <c r="H169" s="7"/>
      <c r="I169" s="7"/>
      <c r="J169" s="7"/>
      <c r="K169" s="62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 ht="15.75" customHeight="1">
      <c r="A170" s="6"/>
      <c r="B170" s="7"/>
      <c r="C170" s="7"/>
      <c r="D170" s="7"/>
      <c r="E170" s="7"/>
      <c r="F170" s="7"/>
      <c r="G170" s="7"/>
      <c r="H170" s="7"/>
      <c r="I170" s="7"/>
      <c r="J170" s="7"/>
      <c r="K170" s="62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 ht="15.75" customHeight="1">
      <c r="A171" s="6"/>
      <c r="B171" s="7"/>
      <c r="C171" s="7"/>
      <c r="D171" s="7"/>
      <c r="E171" s="7"/>
      <c r="F171" s="7"/>
      <c r="G171" s="7"/>
      <c r="H171" s="7"/>
      <c r="I171" s="7"/>
      <c r="J171" s="7"/>
      <c r="K171" s="62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62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62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62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62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62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62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62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62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62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62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62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62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62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62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62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62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62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62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62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62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62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62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62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62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62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62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62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62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62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62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62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62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62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62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62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62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62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62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62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62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62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62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62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62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62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62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62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62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62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spans="1:25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62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spans="1:25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62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1:25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62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1:25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62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spans="1: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62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spans="1:25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62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spans="1:25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62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spans="1:25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62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spans="1:25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62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1:25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62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spans="1:25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62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1:25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62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spans="1:25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62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spans="1:25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62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spans="1:2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62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spans="1:25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62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spans="1:25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62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1:25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62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1:25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62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1:25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62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spans="1:25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62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spans="1:25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62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spans="1:25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62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1:25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62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1:2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62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1:25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62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spans="1:25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62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spans="1:25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62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1:25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62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1:25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62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spans="1:25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62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1:25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62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spans="1:25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62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spans="1:25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62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spans="1:2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62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1:25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62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spans="1:25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62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5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62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spans="1:25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62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spans="1:25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62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spans="1:25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62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spans="1:25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62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spans="1:25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62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spans="1:25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62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spans="1:2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62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spans="1:25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62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spans="1:25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62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spans="1:25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62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spans="1:25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62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spans="1:25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62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spans="1:25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62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spans="1:25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62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spans="1:25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62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spans="1:25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62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spans="1:2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62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spans="1:25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62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spans="1:25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62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spans="1:25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62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spans="1:25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62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spans="1:25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62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spans="1:25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62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spans="1:25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62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spans="1:25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62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spans="1:25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62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spans="1:2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62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spans="1:25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62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spans="1:25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62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spans="1:25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62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spans="1:25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62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spans="1:25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62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spans="1:25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62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spans="1:25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62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spans="1:25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62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spans="1:25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62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spans="1:2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62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spans="1:25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62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spans="1:25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62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spans="1:25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62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spans="1:25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62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spans="1:25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62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spans="1:25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62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spans="1:25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62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spans="1:25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62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spans="1:25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62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spans="1:2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62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spans="1:25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62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spans="1:25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62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spans="1:25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62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spans="1:25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62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spans="1:25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62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spans="1:25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62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spans="1:25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62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spans="1:25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62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spans="1:25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62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spans="1:2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62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spans="1:25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62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spans="1:25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62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spans="1:25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62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spans="1:25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62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spans="1:25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62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spans="1:25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62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spans="1:25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62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spans="1:25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62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spans="1:25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62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spans="1: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62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spans="1:25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62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spans="1:25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62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spans="1:25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62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spans="1:25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62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spans="1:25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62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spans="1:25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62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spans="1:25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62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spans="1:25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62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spans="1:25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62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spans="1:2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62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spans="1:25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62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spans="1:25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62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spans="1:25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62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spans="1:25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62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spans="1:25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62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spans="1:25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62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spans="1:25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62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spans="1:25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62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spans="1:25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62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spans="1:2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62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spans="1:25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62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spans="1:25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62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spans="1:25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62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spans="1:25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62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spans="1:25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62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spans="1:25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62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spans="1:25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62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spans="1:25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62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spans="1:25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62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spans="1:2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62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spans="1:25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62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spans="1:25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62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spans="1:25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62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spans="1:25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62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spans="1:25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62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spans="1:25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62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spans="1:25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62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spans="1:25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62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spans="1:25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62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spans="1:2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62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spans="1:25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62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spans="1:25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62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spans="1:25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62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I2"/>
    <mergeCell ref="A3:I3"/>
    <mergeCell ref="A4:E4"/>
    <mergeCell ref="F4:I4"/>
    <mergeCell ref="A16:I16"/>
    <mergeCell ref="A17:D17"/>
    <mergeCell ref="E17:I17"/>
  </mergeCells>
  <dataValidations count="4">
    <dataValidation type="list" allowBlank="1" showErrorMessage="1" sqref="H97:H100 H122:H125" xr:uid="{C8AB6EDC-D0AE-4625-B22A-5DCCC4C60766}">
      <formula1>"Pending,Sent,Followed Up,Responded"</formula1>
    </dataValidation>
    <dataValidation type="list" allowBlank="1" showErrorMessage="1" sqref="H19:H43 H45:H52 H54:H55 H57:H60 H62:H71 H73:H90 H92:H95 H101:H120 H126:H168" xr:uid="{92229FF3-B685-49BD-AD5C-FD075E73F4E8}">
      <formula1>"Pending,Sent,Followed Up,Responded,Completed"</formula1>
    </dataValidation>
    <dataValidation type="list" allowBlank="1" showErrorMessage="1" sqref="H72" xr:uid="{82ED4D9E-4397-4878-8288-76BC7901B806}">
      <formula1>"Pending,Sent,Followed Up,Responded,OOO"</formula1>
    </dataValidation>
    <dataValidation type="list" allowBlank="1" showErrorMessage="1" sqref="H44 H53 H56 H61 H91 H96 H121" xr:uid="{B8F34B6E-E8CD-40A8-8F19-30DFC9E05B8E}">
      <formula1>"Pending,Sent,Followed Up,Responded,Bounced"</formula1>
    </dataValidation>
  </dataValidations>
  <hyperlinks>
    <hyperlink ref="A1" location="OVERVIEW!A1" display="Jeffries Application Tracker" xr:uid="{E4C5C9F0-D377-4AB8-9E48-4F945BA4AC70}"/>
    <hyperlink ref="E19" r:id="rId1" xr:uid="{F91D8C3E-DAEB-4213-9408-0B4A98E87D41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B9AC6-BF9B-4D91-9461-63A0F5BBC2A2}">
  <dimension ref="A1"/>
  <sheetViews>
    <sheetView workbookViewId="0"/>
  </sheetViews>
  <sheetFormatPr defaultRowHeight="12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OVERVIEW</vt:lpstr>
      <vt:lpstr>APPLICATIONS</vt:lpstr>
      <vt:lpstr>ACTIVE BAY</vt:lpstr>
      <vt:lpstr>WALL STREET</vt:lpstr>
      <vt:lpstr>MS</vt:lpstr>
      <vt:lpstr>MS (NY)</vt:lpstr>
      <vt:lpstr>GS</vt:lpstr>
      <vt:lpstr>JPM</vt:lpstr>
      <vt:lpstr>BAC</vt:lpstr>
      <vt:lpstr>C</vt:lpstr>
      <vt:lpstr>Qatalyst</vt:lpstr>
      <vt:lpstr>Evercore</vt:lpstr>
      <vt:lpstr>Evercore (NY)</vt:lpstr>
      <vt:lpstr>Lazard</vt:lpstr>
      <vt:lpstr>JEF</vt:lpstr>
      <vt:lpstr>ROTH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 Gong</cp:lastModifiedBy>
  <dcterms:modified xsi:type="dcterms:W3CDTF">2026-09-01T19:33:59Z</dcterms:modified>
</cp:coreProperties>
</file>